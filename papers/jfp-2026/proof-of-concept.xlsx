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netorgft10353333-my.sharepoint.com/personal/benharvill_choicr_com/Documents/Mind Map/FOSH/FOSH Governance Board/Docs/papers/JFP/"/>
    </mc:Choice>
  </mc:AlternateContent>
  <xr:revisionPtr revIDLastSave="1703" documentId="13_ncr:1_{0F3EA143-E79E-4858-84D8-6D3AD8990F6F}" xr6:coauthVersionLast="47" xr6:coauthVersionMax="47" xr10:uidLastSave="{FA8C93F4-BD41-447B-996D-A0B1FC3DB7F1}"/>
  <bookViews>
    <workbookView xWindow="-120" yWindow="-120" windowWidth="38640" windowHeight="21120" tabRatio="652" activeTab="3" xr2:uid="{00000000-000D-0000-FFFF-FFFF00000000}"/>
  </bookViews>
  <sheets>
    <sheet name="1. Household Inputs" sheetId="1" r:id="rId1"/>
    <sheet name="2. Plan Comparison" sheetId="2" r:id="rId2"/>
    <sheet name="3. Objective Functions" sheetId="3" r:id="rId3"/>
    <sheet name="4. Optimizer" sheetId="4" r:id="rId4"/>
    <sheet name="5. FOSH Signals" sheetId="5" r:id="rId5"/>
    <sheet name="6. Instructions" sheetId="6" r:id="rId6"/>
  </sheets>
  <definedNames>
    <definedName name="solver_adj" localSheetId="3" hidden="1">'4. Optimizer'!$B$6:$B$9</definedName>
    <definedName name="solver_cvg" localSheetId="3" hidden="1">0.0001</definedName>
    <definedName name="solver_drv" localSheetId="3" hidden="1">1</definedName>
    <definedName name="solver_eng" localSheetId="2" hidden="1">1</definedName>
    <definedName name="solver_eng" localSheetId="3" hidden="1">1</definedName>
    <definedName name="solver_est" localSheetId="3" hidden="1">1</definedName>
    <definedName name="solver_itr" localSheetId="3" hidden="1">2147483647</definedName>
    <definedName name="solver_lhs1" localSheetId="3" hidden="1">'4. Optimizer'!$B$11</definedName>
    <definedName name="solver_lhs2" localSheetId="3" hidden="1">'4. Optimizer'!$B$24</definedName>
    <definedName name="solver_lhs3" localSheetId="3" hidden="1">'4. Optimizer'!$B$25</definedName>
    <definedName name="solver_lhs4" localSheetId="3" hidden="1">'4. Optimizer'!$B$26</definedName>
    <definedName name="solver_lhs5" localSheetId="3" hidden="1">'4. Optimizer'!$B$6:$B$9</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2" hidden="1">1</definedName>
    <definedName name="solver_neg" localSheetId="3" hidden="1">1</definedName>
    <definedName name="solver_nod" localSheetId="3" hidden="1">2147483647</definedName>
    <definedName name="solver_num" localSheetId="2" hidden="1">0</definedName>
    <definedName name="solver_num" localSheetId="3" hidden="1">5</definedName>
    <definedName name="solver_nwt" localSheetId="3" hidden="1">1</definedName>
    <definedName name="solver_opt" localSheetId="2" hidden="1">'3. Objective Functions'!$E$26</definedName>
    <definedName name="solver_opt" localSheetId="3" hidden="1">'4. Optimizer'!$B$26</definedName>
    <definedName name="solver_pre" localSheetId="3" hidden="1">0.0000001</definedName>
    <definedName name="solver_rbv" localSheetId="3" hidden="1">1</definedName>
    <definedName name="solver_rel1" localSheetId="3" hidden="1">2</definedName>
    <definedName name="solver_rel2" localSheetId="3" hidden="1">3</definedName>
    <definedName name="solver_rel3" localSheetId="3" hidden="1">3</definedName>
    <definedName name="solver_rel4" localSheetId="3" hidden="1">1</definedName>
    <definedName name="solver_rel5" localSheetId="3" hidden="1">3</definedName>
    <definedName name="solver_rhs1" localSheetId="3" hidden="1">0</definedName>
    <definedName name="solver_rhs2" localSheetId="3" hidden="1">'4. Optimizer'!$B$52</definedName>
    <definedName name="solver_rhs3" localSheetId="3" hidden="1">'4. Optimizer'!$C$52</definedName>
    <definedName name="solver_rhs4" localSheetId="3" hidden="1">'4. Optimizer'!$B$31</definedName>
    <definedName name="solver_rhs5" localSheetId="3" hidden="1">0</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2" hidden="1">1</definedName>
    <definedName name="solver_typ" localSheetId="3" hidden="1">2</definedName>
    <definedName name="solver_val" localSheetId="2" hidden="1">0</definedName>
    <definedName name="solver_val" localSheetId="3" hidden="1">0</definedName>
    <definedName name="solver_ver" localSheetId="2" hidden="1">3</definedName>
    <definedName name="solver_ver" localSheetId="3" hidden="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3" i="4" l="1"/>
  <c r="H52" i="4"/>
  <c r="G53" i="4"/>
  <c r="G52" i="4"/>
  <c r="F53" i="4"/>
  <c r="F52" i="4"/>
  <c r="E53" i="4"/>
  <c r="E52" i="4"/>
  <c r="C13" i="5"/>
  <c r="C12" i="5"/>
  <c r="C16" i="5" s="1"/>
  <c r="C11" i="5"/>
  <c r="B13" i="5"/>
  <c r="B12" i="5"/>
  <c r="B16" i="5" s="1"/>
  <c r="B11" i="5"/>
  <c r="C29" i="5"/>
  <c r="C61" i="3"/>
  <c r="B61" i="3"/>
  <c r="C31" i="3"/>
  <c r="C32" i="3" s="1"/>
  <c r="C51" i="3" s="1"/>
  <c r="B31" i="3"/>
  <c r="C27" i="3"/>
  <c r="C28" i="3" s="1"/>
  <c r="B27" i="3"/>
  <c r="B21" i="3"/>
  <c r="B20" i="3"/>
  <c r="B19" i="3"/>
  <c r="B18" i="3"/>
  <c r="B17" i="3"/>
  <c r="B16" i="3"/>
  <c r="B14" i="3"/>
  <c r="B62" i="3" s="1"/>
  <c r="B64" i="3" s="1"/>
  <c r="B13" i="3"/>
  <c r="C63" i="3" s="1"/>
  <c r="B12" i="3"/>
  <c r="B11" i="3"/>
  <c r="B45" i="3" s="1"/>
  <c r="B10" i="3"/>
  <c r="B9" i="3"/>
  <c r="B8" i="3"/>
  <c r="B15" i="4" s="1"/>
  <c r="B7" i="3"/>
  <c r="C45" i="3" s="1"/>
  <c r="B59" i="1"/>
  <c r="B58" i="1"/>
  <c r="B57" i="1"/>
  <c r="B15" i="3" s="1"/>
  <c r="B39" i="1"/>
  <c r="B38" i="1"/>
  <c r="B37" i="1"/>
  <c r="B16" i="1"/>
  <c r="C15" i="1"/>
  <c r="C14" i="1"/>
  <c r="C16" i="1" s="1"/>
  <c r="B34" i="1" s="1"/>
  <c r="B20" i="4"/>
  <c r="B21" i="4" s="1"/>
  <c r="B17" i="4"/>
  <c r="B16" i="4"/>
  <c r="B10" i="4"/>
  <c r="C33" i="3" l="1"/>
  <c r="C52" i="3" s="1"/>
  <c r="C53" i="3" s="1"/>
  <c r="B32" i="3"/>
  <c r="B33" i="3" s="1"/>
  <c r="B52" i="3" s="1"/>
  <c r="B28" i="3"/>
  <c r="B48" i="3" s="1"/>
  <c r="B25" i="4"/>
  <c r="B35" i="1"/>
  <c r="B40" i="1"/>
  <c r="C29" i="3"/>
  <c r="C49" i="3" s="1"/>
  <c r="C48" i="3"/>
  <c r="B63" i="3"/>
  <c r="B65" i="3" s="1"/>
  <c r="B66" i="3" s="1"/>
  <c r="C52" i="4" s="1"/>
  <c r="B8" i="5" s="1"/>
  <c r="B18" i="4"/>
  <c r="B14" i="4"/>
  <c r="C62" i="3"/>
  <c r="C64" i="3" s="1"/>
  <c r="C65" i="3" s="1"/>
  <c r="C66" i="3" s="1"/>
  <c r="C53" i="4" s="1"/>
  <c r="C8" i="5" s="1"/>
  <c r="C34" i="3"/>
  <c r="B51" i="3" l="1"/>
  <c r="B29" i="3"/>
  <c r="B49" i="3" s="1"/>
  <c r="B50" i="3" s="1"/>
  <c r="C30" i="3"/>
  <c r="C35" i="3" s="1"/>
  <c r="D53" i="4" s="1"/>
  <c r="C9" i="5" s="1"/>
  <c r="C17" i="5" s="1"/>
  <c r="B34" i="3"/>
  <c r="D7" i="4"/>
  <c r="D6" i="4"/>
  <c r="D9" i="4"/>
  <c r="D8" i="4"/>
  <c r="B5" i="2"/>
  <c r="B11" i="4"/>
  <c r="C50" i="3"/>
  <c r="B19" i="4"/>
  <c r="B26" i="4" s="1"/>
  <c r="B53" i="3"/>
  <c r="B30" i="3" l="1"/>
  <c r="B35" i="3" s="1"/>
  <c r="D52" i="4" s="1"/>
  <c r="B9" i="5" s="1"/>
  <c r="B17" i="5" s="1"/>
  <c r="B24" i="4"/>
  <c r="C20" i="2"/>
  <c r="C19" i="2"/>
  <c r="C9" i="2"/>
  <c r="B21" i="2"/>
  <c r="B12" i="2"/>
  <c r="C11" i="2"/>
  <c r="C10" i="2"/>
  <c r="C18" i="2"/>
  <c r="B46" i="5" l="1"/>
  <c r="B43" i="3"/>
  <c r="B44" i="3" s="1"/>
  <c r="B46" i="3" s="1"/>
  <c r="B55" i="3" s="1"/>
  <c r="B52" i="4" s="1"/>
  <c r="B7" i="5" s="1"/>
  <c r="B15" i="5" s="1"/>
  <c r="B19" i="5" s="1"/>
  <c r="B13" i="2"/>
  <c r="C12" i="2"/>
  <c r="C46" i="5"/>
  <c r="B22" i="2"/>
  <c r="C43" i="3"/>
  <c r="C44" i="3" s="1"/>
  <c r="C46" i="3" s="1"/>
  <c r="C55" i="3" s="1"/>
  <c r="B53" i="4" s="1"/>
  <c r="C7" i="5" s="1"/>
  <c r="C15" i="5" s="1"/>
  <c r="C19" i="5" s="1"/>
  <c r="C21" i="2"/>
  <c r="C22" i="2" l="1"/>
  <c r="B23" i="2"/>
  <c r="C45" i="5" s="1"/>
  <c r="C13" i="2"/>
  <c r="B14" i="2"/>
  <c r="B45" i="5" s="1"/>
</calcChain>
</file>

<file path=xl/sharedStrings.xml><?xml version="1.0" encoding="utf-8"?>
<sst xmlns="http://schemas.openxmlformats.org/spreadsheetml/2006/main" count="566" uniqueCount="417">
  <si>
    <t>Pareto Frontier via Epsilon-Constraint Method</t>
  </si>
  <si>
    <t>DECISION VARIABLES (Solver changes these)</t>
  </si>
  <si>
    <t>Allocation Bucket</t>
  </si>
  <si>
    <t>Monthly $</t>
  </si>
  <si>
    <t>Lower Bound</t>
  </si>
  <si>
    <t>Upper Bound</t>
  </si>
  <si>
    <t>x1: Extra Auto Payment</t>
  </si>
  <si>
    <t>x2: Extra Student Payment</t>
  </si>
  <si>
    <t>x3: Additional 529</t>
  </si>
  <si>
    <t>x4: Additional 401(k)</t>
  </si>
  <si>
    <t>Total Allocated</t>
  </si>
  <si>
    <t>Budget Constraint (must = 0)</t>
  </si>
  <si>
    <t>INTERMEDIATE COMPUTATIONS</t>
  </si>
  <si>
    <t>r_401k (monthly)</t>
  </si>
  <si>
    <t>r_529 (monthly)</t>
  </si>
  <si>
    <t>n_ret (months)</t>
  </si>
  <si>
    <t>n_edu (months)</t>
  </si>
  <si>
    <t>Total auto payment (min + x1)</t>
  </si>
  <si>
    <t>Auto payoff months (n_auto)</t>
  </si>
  <si>
    <t>Total student payment (min + x2)</t>
  </si>
  <si>
    <t>Student payoff months (n_stud)</t>
  </si>
  <si>
    <t>COMPUTED OBJECTIVES (phased model)</t>
  </si>
  <si>
    <t>Obj 1: Retirement Balance (phased)</t>
  </si>
  <si>
    <t>Obj 2: Education Funding Ratio</t>
  </si>
  <si>
    <t>Obj 3: Total Interest Paid</t>
  </si>
  <si>
    <t>EPSILON CONSTRAINTS (set before each Solver run)</t>
  </si>
  <si>
    <t>Minimum Obj 2 (Funding Ratio &gt;= this)</t>
  </si>
  <si>
    <t>Constraint: B25 &gt;= B30. Sets a floor: 'Find the best retirement outcome, but education funding must be at least this ratio.'</t>
  </si>
  <si>
    <t>Maximum Obj 3 (Total Interest &lt;= this)</t>
  </si>
  <si>
    <t>Constraint: B26 &lt;= B31. Sets a ceiling: 'Find the best retirement outcome, but total interest must not exceed this amount.'</t>
  </si>
  <si>
    <t>PARETO FRONTIER RESULTS TABLE</t>
  </si>
  <si>
    <t>Each row is the result of one Solver run with different constraint settings. Together, these points trace the efficient frontier. See Instructions for the sweep procedure.</t>
  </si>
  <si>
    <t>Epsilon Constraints</t>
  </si>
  <si>
    <t>Run #</t>
  </si>
  <si>
    <t>Obj 1: Retire $</t>
  </si>
  <si>
    <t>Obj 2: Fund %</t>
  </si>
  <si>
    <t>Obj 3: Interest $</t>
  </si>
  <si>
    <t>x1 (Auto)</t>
  </si>
  <si>
    <t>x2 (Student)</t>
  </si>
  <si>
    <t>x3 (529)</t>
  </si>
  <si>
    <t>x4 (401k)</t>
  </si>
  <si>
    <t>Min Obj 2 Value</t>
  </si>
  <si>
    <t>Max Obj 3 Value</t>
  </si>
  <si>
    <t>NA</t>
  </si>
  <si>
    <t>PLAN COMPARISON AGAINST FRONTIER</t>
  </si>
  <si>
    <t>Plan</t>
  </si>
  <si>
    <t>Plan A</t>
  </si>
  <si>
    <t>Plan B</t>
  </si>
  <si>
    <t>FOSH Proof of Concept: Household Input Declaration</t>
  </si>
  <si>
    <t>DEMOGRAPHICS</t>
  </si>
  <si>
    <t>Item</t>
  </si>
  <si>
    <t>Spouse 1</t>
  </si>
  <si>
    <t>Spouse 2</t>
  </si>
  <si>
    <t>Source / Notes</t>
  </si>
  <si>
    <t>Age</t>
  </si>
  <si>
    <t>Baseline: verified</t>
  </si>
  <si>
    <t>Filing Status</t>
  </si>
  <si>
    <t>MFJ</t>
  </si>
  <si>
    <t>State</t>
  </si>
  <si>
    <t>Colorado</t>
  </si>
  <si>
    <t>Dependents</t>
  </si>
  <si>
    <t>Ages 14 and 10</t>
  </si>
  <si>
    <t>Target Retirement Age</t>
  </si>
  <si>
    <t>Baseline: household-reported</t>
  </si>
  <si>
    <t>INCOME FLOWS</t>
  </si>
  <si>
    <t>Annual Amount</t>
  </si>
  <si>
    <t>Monthly Amount</t>
  </si>
  <si>
    <t>Spouse 1 Employment</t>
  </si>
  <si>
    <t>Document-backed</t>
  </si>
  <si>
    <t>Spouse 2 Employment</t>
  </si>
  <si>
    <t>Combined Gross Income</t>
  </si>
  <si>
    <t>Formula</t>
  </si>
  <si>
    <t>ASSETS</t>
  </si>
  <si>
    <t>Account</t>
  </si>
  <si>
    <t>Balance</t>
  </si>
  <si>
    <t>Monthly Contrib.</t>
  </si>
  <si>
    <t>Spouse 1 401(k)</t>
  </si>
  <si>
    <t>Document-backed; 6% for match</t>
  </si>
  <si>
    <t>Spouse 2 401(k)</t>
  </si>
  <si>
    <t>Document-backed; 10% of salary</t>
  </si>
  <si>
    <t>Joint Taxable Savings</t>
  </si>
  <si>
    <t>529 Plan (Child 1, age 14)</t>
  </si>
  <si>
    <t>Primary Residence Equity</t>
  </si>
  <si>
    <t>Estimated (Zillow)</t>
  </si>
  <si>
    <t>LIABILITIES</t>
  </si>
  <si>
    <t>Debt</t>
  </si>
  <si>
    <t>Rate (APR)</t>
  </si>
  <si>
    <t>Minimum Payment</t>
  </si>
  <si>
    <t>Auto Loan</t>
  </si>
  <si>
    <t>Student Loan</t>
  </si>
  <si>
    <t>Mortgage</t>
  </si>
  <si>
    <t>MONTHLY CASH FLOW</t>
  </si>
  <si>
    <t>Combined Gross Monthly Income</t>
  </si>
  <si>
    <t>Link</t>
  </si>
  <si>
    <t>Estimated Taxes &amp; FICA (25%)</t>
  </si>
  <si>
    <t>Effective rate assumption</t>
  </si>
  <si>
    <t>Baseline Living Expenses</t>
  </si>
  <si>
    <t>Household-reported (not corroborated)</t>
  </si>
  <si>
    <t>Existing 401(k) Contributions</t>
  </si>
  <si>
    <t>Existing 529 Contribution</t>
  </si>
  <si>
    <t>Minimum Debt Payments</t>
  </si>
  <si>
    <t>Available Monthly Surplus</t>
  </si>
  <si>
    <t>Residual cash flow</t>
  </si>
  <si>
    <t>DECLARED MODELING SCOPE</t>
  </si>
  <si>
    <t>Objective Domain</t>
  </si>
  <si>
    <t>Status</t>
  </si>
  <si>
    <t>Evaluable?</t>
  </si>
  <si>
    <t>Notes</t>
  </si>
  <si>
    <t>Cashflow Sustainability (Retirement)</t>
  </si>
  <si>
    <t>Active</t>
  </si>
  <si>
    <t>Yes</t>
  </si>
  <si>
    <t>Obj 1: maximize retirement balance at 65</t>
  </si>
  <si>
    <t>Education Funding</t>
  </si>
  <si>
    <t>Obj 2: maximize 529 funding ratio</t>
  </si>
  <si>
    <t>Debt Strategy</t>
  </si>
  <si>
    <t>Obj 3: minimize total interest paid</t>
  </si>
  <si>
    <t>Portfolio Efficiency</t>
  </si>
  <si>
    <t>Excluded</t>
  </si>
  <si>
    <t>N/A</t>
  </si>
  <si>
    <t>Intentionally excluded</t>
  </si>
  <si>
    <t>Emergency Liquidity</t>
  </si>
  <si>
    <t>REFERENCE ASSUMPTIONS</t>
  </si>
  <si>
    <t>Assumption</t>
  </si>
  <si>
    <t>Value</t>
  </si>
  <si>
    <t>Annual Return on 401(k) (nominal)</t>
  </si>
  <si>
    <t>FOSH Reference Prior v1.0</t>
  </si>
  <si>
    <t>Annual Return on 529 (nominal)</t>
  </si>
  <si>
    <t>Years to Retirement (Spouse 1)</t>
  </si>
  <si>
    <t>65 minus current age</t>
  </si>
  <si>
    <t>Years to Child 1 Enrollment</t>
  </si>
  <si>
    <t>18 minus child's current age</t>
  </si>
  <si>
    <t>College Cost Target (4-yr, today $)</t>
  </si>
  <si>
    <t>Public university benchmark</t>
  </si>
  <si>
    <t>College Cost at Enrollment</t>
  </si>
  <si>
    <t>Inflated at 4% education CPI</t>
  </si>
  <si>
    <t>Months to Retirement</t>
  </si>
  <si>
    <t>Months to Enrollment</t>
  </si>
  <si>
    <t>Post-payoff redirect</t>
  </si>
  <si>
    <t>401(k)</t>
  </si>
  <si>
    <t>Freed debt payments redirect to 401(k)</t>
  </si>
  <si>
    <t>Two Plans for the Same Household: Surplus Allocation</t>
  </si>
  <si>
    <t>Both plans allocate the same monthly surplus across the same three domains, ensuring that any difference in outcomes reflects allocation strategy, not resource differences.</t>
  </si>
  <si>
    <t>PLAN A: "Debt-First" Strategy</t>
  </si>
  <si>
    <t>% of Surplus</t>
  </si>
  <si>
    <t>Commitment</t>
  </si>
  <si>
    <t>Rationale</t>
  </si>
  <si>
    <t>Extra Auto Loan Payment</t>
  </si>
  <si>
    <t>Proposed</t>
  </si>
  <si>
    <t>Highest rate: 5.9% APR</t>
  </si>
  <si>
    <t>Extra Student Loan Payment</t>
  </si>
  <si>
    <t>Second priority by rate</t>
  </si>
  <si>
    <t>Additional 529 Contribution</t>
  </si>
  <si>
    <t>Approved</t>
  </si>
  <si>
    <t>Close gap to target</t>
  </si>
  <si>
    <t>Additional 401(k) Contribution</t>
  </si>
  <si>
    <t>Remainder to retirement</t>
  </si>
  <si>
    <t>Plan A Total</t>
  </si>
  <si>
    <t>Surplus Check (must = 0)</t>
  </si>
  <si>
    <t>PLAN B: "Balanced Growth" Strategy</t>
  </si>
  <si>
    <t>Minimum extra; focus on growth</t>
  </si>
  <si>
    <t>Minimum extra</t>
  </si>
  <si>
    <t>Maximize tax-advantaged growth</t>
  </si>
  <si>
    <t>Plan B Total</t>
  </si>
  <si>
    <t>Objective Function Computations (Phased Model)</t>
  </si>
  <si>
    <t>This sheet computes three measurable outcomes for each plan: retirement balance at 65, education funding ratio at enrollment, and total interest paid on debt. These are the three objectives the household has declared. FOSH evaluates plan efficiency across all three simultaneously.</t>
  </si>
  <si>
    <t>The phased model redirects freed debt payments to the 401(k) after payoff, capturing the system-level interaction between debt and retirement. Objective 3 (interest) is computed first because debt payoff timing determines the redirect streams used in Objective 1.</t>
  </si>
  <si>
    <t>REFERENCE DATA (linked from Inputs)</t>
  </si>
  <si>
    <t>Parameter</t>
  </si>
  <si>
    <t>r_401k: Monthly return on 401(k)</t>
  </si>
  <si>
    <t>r_529: Monthly return on 529</t>
  </si>
  <si>
    <t>n_ret: Months to retirement</t>
  </si>
  <si>
    <t>n_edu: Months to enrollment</t>
  </si>
  <si>
    <t>PV_401k: Current 401(k) balance</t>
  </si>
  <si>
    <t>PMT_401k: Existing 401(k) monthly contrib</t>
  </si>
  <si>
    <t>PV_529: Current 529 balance</t>
  </si>
  <si>
    <t>PMT_529: Existing 529 monthly contrib</t>
  </si>
  <si>
    <t>Target: College cost at enrollment</t>
  </si>
  <si>
    <t>BAL_auto: Auto loan balance</t>
  </si>
  <si>
    <t>r_auto: Auto loan monthly rate</t>
  </si>
  <si>
    <t>PMT_auto: Auto loan min payment</t>
  </si>
  <si>
    <t>BAL_stud: Student loan balance</t>
  </si>
  <si>
    <t>r_stud: Student loan monthly rate</t>
  </si>
  <si>
    <t>PMT_stud: Student loan min payment</t>
  </si>
  <si>
    <t>OBJECTIVE 3: Total Interest Paid on Debt (Minimize)</t>
  </si>
  <si>
    <t>Component</t>
  </si>
  <si>
    <t>Extra auto payment (monthly)</t>
  </si>
  <si>
    <t>Decision variable</t>
  </si>
  <si>
    <t>Total auto payment (min + extra)</t>
  </si>
  <si>
    <t>Freed amount post-payoff</t>
  </si>
  <si>
    <t>NPER(rate, -pmt, bal)</t>
  </si>
  <si>
    <t>Auto total interest</t>
  </si>
  <si>
    <t>Total paid - principal</t>
  </si>
  <si>
    <t>Extra student payment (monthly)</t>
  </si>
  <si>
    <t>Total student payment (min + extra)</t>
  </si>
  <si>
    <t>Student total interest</t>
  </si>
  <si>
    <t>OBJECTIVE 3: Total Interest Paid</t>
  </si>
  <si>
    <t>MINIMIZE</t>
  </si>
  <si>
    <t>OBJECTIVE 1: Retirement Balance at 65 — Phased Model (Maximize)</t>
  </si>
  <si>
    <t>FV = PV*(1+r)^n + base_stream + auto_redirect_stream + student_redirect_stream</t>
  </si>
  <si>
    <t>Each redirect stream starts when its debt is fully paid off.</t>
  </si>
  <si>
    <t>Redirect amount = full debt payment (min + extra), not just the extra.</t>
  </si>
  <si>
    <t>Additional 401(k) from plan (monthly)</t>
  </si>
  <si>
    <t>Base 401(k) stream (existing + x4)</t>
  </si>
  <si>
    <t>Flows for all 252 months</t>
  </si>
  <si>
    <t>FV of current 401(k) balance</t>
  </si>
  <si>
    <t>PV growth (same for both)</t>
  </si>
  <si>
    <t>FV of base stream (full horizon)</t>
  </si>
  <si>
    <t>Annuity FV, 252 months</t>
  </si>
  <si>
    <t>--- Post-Payoff Redirect Streams ---</t>
  </si>
  <si>
    <t>Auto redirect amount (full payment freed)</t>
  </si>
  <si>
    <t>min_pmt + extra; all freed on payoff</t>
  </si>
  <si>
    <t>Months remaining after auto payoff</t>
  </si>
  <si>
    <t>n_ret - n_auto</t>
  </si>
  <si>
    <t>FV of auto redirect stream</t>
  </si>
  <si>
    <t>Annuity FV over remaining months</t>
  </si>
  <si>
    <t>Student redirect amount (full payment freed)</t>
  </si>
  <si>
    <t>Months remaining after student payoff</t>
  </si>
  <si>
    <t>n_ret - n_stud</t>
  </si>
  <si>
    <t>FV of student redirect stream</t>
  </si>
  <si>
    <t>OBJECTIVE 1: Retirement Balance (phased)</t>
  </si>
  <si>
    <t>MAXIMIZE</t>
  </si>
  <si>
    <t>OBJECTIVE 2: Education Funding Ratio (Maximize)</t>
  </si>
  <si>
    <t>The funding ratio is the projected percentage of total education expenses covered by the 529 balance at enrollment. 529 horizon (48 mo) &lt; all debt payoff horizons, so no redirect interaction.</t>
  </si>
  <si>
    <t>Additional 529 (monthly)</t>
  </si>
  <si>
    <t>Total monthly 529 contrib</t>
  </si>
  <si>
    <t>Existing + additional</t>
  </si>
  <si>
    <t>FV of current 529 balance</t>
  </si>
  <si>
    <t>PV growth (same)</t>
  </si>
  <si>
    <t>FV of 529 contribution stream</t>
  </si>
  <si>
    <t>Annuity FV, 48 months</t>
  </si>
  <si>
    <t>Projected 529 at enrollment</t>
  </si>
  <si>
    <t>Total projected</t>
  </si>
  <si>
    <t>OBJECTIVE 2: Funding Ratio</t>
  </si>
  <si>
    <t>MAXIMIZE (1.0 = fully funded)</t>
  </si>
  <si>
    <t>FOSH Evaluative Signal Report</t>
  </si>
  <si>
    <t>EFFICIENCY SIGNAL</t>
  </si>
  <si>
    <t>After completing the Pareto sweep, identify the nearest efficient point for each plan and enter its values below. See the Instructions sheet (Step 3) for how to identify the nearest efficient point.</t>
  </si>
  <si>
    <t>Metric</t>
  </si>
  <si>
    <t>Plan Obj 1: Retirement Balance</t>
  </si>
  <si>
    <t>From Sheet 3</t>
  </si>
  <si>
    <t>Plan Obj 2: Funding Ratio</t>
  </si>
  <si>
    <t>Plan Obj 3: Total Interest</t>
  </si>
  <si>
    <t>Nearest Efficient Obj 1</t>
  </si>
  <si>
    <t>Enter from Pareto table</t>
  </si>
  <si>
    <t>Nearest Efficient Obj 2</t>
  </si>
  <si>
    <t>Nearest Efficient Obj 3</t>
  </si>
  <si>
    <t>OBJECTIVE COVERAGE &amp; EVALUABILITY SIGNAL</t>
  </si>
  <si>
    <t>Domain</t>
  </si>
  <si>
    <t>Cashflow Sustainability</t>
  </si>
  <si>
    <t>Declared; data sufficient</t>
  </si>
  <si>
    <t>PROVENANCE &amp; RELIABILITY SIGNAL</t>
  </si>
  <si>
    <t>Input Category</t>
  </si>
  <si>
    <t>Sourcing</t>
  </si>
  <si>
    <t>Employment Income</t>
  </si>
  <si>
    <t>Baseline</t>
  </si>
  <si>
    <t>Paystubs linked</t>
  </si>
  <si>
    <t>401(k) Balances</t>
  </si>
  <si>
    <t>Custodian statements</t>
  </si>
  <si>
    <t>529 Balance</t>
  </si>
  <si>
    <t>Custodian statement</t>
  </si>
  <si>
    <t>Debt Balances &amp; Rates</t>
  </si>
  <si>
    <t>Loan statements</t>
  </si>
  <si>
    <t>Monthly Expenses</t>
  </si>
  <si>
    <t>Household-reported</t>
  </si>
  <si>
    <t>NOT independently corroborated</t>
  </si>
  <si>
    <t>Home Equity</t>
  </si>
  <si>
    <t>Estimated</t>
  </si>
  <si>
    <t>Zillow; not appraised</t>
  </si>
  <si>
    <t>Extra 529 Contribution</t>
  </si>
  <si>
    <t>Household has agreed</t>
  </si>
  <si>
    <t>Extra Debt Payments</t>
  </si>
  <si>
    <t>NOT yet committed</t>
  </si>
  <si>
    <t>Extra 401(k) Contribution</t>
  </si>
  <si>
    <t>STRUCTURAL VALIDITY SIGNAL</t>
  </si>
  <si>
    <t>Check</t>
  </si>
  <si>
    <t>Budget fully allocated?</t>
  </si>
  <si>
    <t>Surplus = 0</t>
  </si>
  <si>
    <t>All allocations &gt;= 0?</t>
  </si>
  <si>
    <t>Non-negativity</t>
  </si>
  <si>
    <t>401(k) within annual limit?</t>
  </si>
  <si>
    <t>PASS</t>
  </si>
  <si>
    <t>Simplified check</t>
  </si>
  <si>
    <t>529 within exclusion?</t>
  </si>
  <si>
    <t>CERTIFICATION &amp; GOVERNANCE SIGNAL</t>
  </si>
  <si>
    <t>FOSH Standard Version</t>
  </si>
  <si>
    <t>1.0 (Proof of Concept)</t>
  </si>
  <si>
    <t>Reference Tables</t>
  </si>
  <si>
    <t>2026-Q1</t>
  </si>
  <si>
    <t>CMA Pack</t>
  </si>
  <si>
    <t>Evaluation Date</t>
  </si>
  <si>
    <t>2026-03-10</t>
  </si>
  <si>
    <t>Solver Method</t>
  </si>
  <si>
    <t>Excel Solver, GRG Nonlinear</t>
  </si>
  <si>
    <t>Reproducibility</t>
  </si>
  <si>
    <t>All inputs declared; deterministic</t>
  </si>
  <si>
    <t>FOSH PROOF OF CONCEPT: INSTRUCTIONS</t>
  </si>
  <si>
    <t>This workbook demonstrates FOSH's evaluative architecture using Excel Solver. All results are deterministic and fully reproducible given declared inputs and reference assumptions.</t>
  </si>
  <si>
    <t>WORKBOOK STRUCTURE</t>
  </si>
  <si>
    <t>Sheet 1 (Household Inputs): Declares all household facts, modeling scope, and reference assumptions. Nothing on this sheet differs between the two plans.</t>
  </si>
  <si>
    <t>Sheet 2 (Plan Comparison): Defines two competing plans as specific surplus allocations. Blue-text cells are the plan's recommended monthly dollar amounts.</t>
  </si>
  <si>
    <t>Sheet 3 (Objective Functions): Computes three declared objectives for each plan using identical formulas: retirement balance at 65, education funding ratio at enrollment, and total interest paid on debt.</t>
  </si>
  <si>
    <t>Sheet 4 (Optimizer): Solver-ready layout for tracing the Pareto efficient frontier. Yellow cells are decision variables that Solver changes.</t>
  </si>
  <si>
    <t>Sheet 5 (FOSH Signals): The evaluative output. Signals across FOSH's reporting dimensions, computed from declared inputs and frontier results.</t>
  </si>
  <si>
    <t>PREREQUISITES: ENABLING AND CONFIGURING SOLVER</t>
  </si>
  <si>
    <t>Excel Solver is required but may not be visible by default. To enable it:</t>
  </si>
  <si>
    <t xml:space="preserve">    1.  Go to File &gt; Options &gt; Add-ins.</t>
  </si>
  <si>
    <t xml:space="preserve">    2.  At the bottom, next to 'Manage,' select 'Excel Add-ins' and click Go.</t>
  </si>
  <si>
    <t xml:space="preserve">    3.  Check 'Solver Add-in' and click OK. Solver will now appear under the Data tab.</t>
  </si>
  <si>
    <t>Configure Solver settings (do this once before your first run):</t>
  </si>
  <si>
    <t xml:space="preserve">    -  Solving Method: GRG Nonlinear (required because NPER introduces mild nonlinearity).</t>
  </si>
  <si>
    <t xml:space="preserve">    -  Precision: 0.000001.</t>
  </si>
  <si>
    <t xml:space="preserve">    -  Convergence: 0.0001.</t>
  </si>
  <si>
    <t xml:space="preserve">    -  Check 'Make Unconstrained Variables Non-Negative.'</t>
  </si>
  <si>
    <t>HOW TO RUN EACH SOLVER ITERATION</t>
  </si>
  <si>
    <t>For every Solver run (Steps 1 and 2 below), follow this exact sequence on Sheet 4:</t>
  </si>
  <si>
    <t xml:space="preserve">    1.  Set the epsilon constraints: enter the appropriate values in B30 (education floor) and B31 (interest ceiling) for this run.</t>
  </si>
  <si>
    <t xml:space="preserve">    2.  Important: for Step 1 runs (single-objective extremes), reset cells B6:B9 to zero before solving. For Step 2 runs (interior sweep), leave the</t>
  </si>
  <si>
    <t xml:space="preserve">        decision variables from the previous run in place. Nearby starting points help Solver find interior solutions that it may miss from a zero start.</t>
  </si>
  <si>
    <t xml:space="preserve">    3.  Open Solver: Data tab &gt; Solver.</t>
  </si>
  <si>
    <t xml:space="preserve">    4.  Set Objective: $B$24 and select Max.</t>
  </si>
  <si>
    <t xml:space="preserve">    5.  By Changing Variable Cells: $B$6:$B$9.</t>
  </si>
  <si>
    <t xml:space="preserve">    6.  Subject to the Constraints:</t>
  </si>
  <si>
    <t xml:space="preserve">            $B$11 = 0        (budget constraint: full surplus must be allocated)</t>
  </si>
  <si>
    <t xml:space="preserve">            $B$6:$B$9 &gt;= 0   (non-negativity: no negative allocations)</t>
  </si>
  <si>
    <t xml:space="preserve">            $B$25 &gt;= $B$30   (education funding must meet or exceed the floor)</t>
  </si>
  <si>
    <t xml:space="preserve">            $B$26 &lt;= $B$31   (total interest must not exceed the ceiling)</t>
  </si>
  <si>
    <t xml:space="preserve">    7.  Click Solve.</t>
  </si>
  <si>
    <t xml:space="preserve">    8.  If Solver finds a solution: click 'Keep Solver Solution,' then record B24, B25, B26, and B6:B9 in the Pareto table.</t>
  </si>
  <si>
    <t xml:space="preserve">    9.  If Solver says 'infeasible': that constraint combination falls outside the feasible set. Record 'NA' for that run and move on.</t>
  </si>
  <si>
    <t xml:space="preserve">   10.  If Solver reports 'Solver could not find a feasible solution' or 'local optimum': try starting from equal allocation (~$265 each in B6:B9) and re-run.</t>
  </si>
  <si>
    <t>These three runs establish the boundaries of what is achievable. Each run maximizes one objective with no constraints on the other two.</t>
  </si>
  <si>
    <t>Run 1: Maximum retirement balance</t>
  </si>
  <si>
    <t xml:space="preserve">    Set B30 = 0 (no education floor).  Set B31 = 99999 (no interest ceiling).  Reset B6:B9 to zero.</t>
  </si>
  <si>
    <t xml:space="preserve">    Set Objective: $B$24 &gt; Max.  Solve.  Record results in Pareto table row 1.</t>
  </si>
  <si>
    <t>Run 2: Maximum education funding</t>
  </si>
  <si>
    <t xml:space="preserve">    Set B30 = 0.  Set B31 = 99999.  Reset B6:B9 to zero.</t>
  </si>
  <si>
    <t xml:space="preserve">    Set Objective: $B$25 &gt; Max.  Solve.  Record results in Pareto table row 2.</t>
  </si>
  <si>
    <t>Run 3: Minimum interest paid</t>
  </si>
  <si>
    <t>After these three runs, note the range of each objective across all runs. These ranges define the grid for Step 2.</t>
  </si>
  <si>
    <t>STEP 2: SWEEP THE INTERIOR (approximately 6-9 additional runs)</t>
  </si>
  <si>
    <t>The three extreme runs show the best possible value of each objective in isolation. The interior sweep reveals the trade-offs between them.</t>
  </si>
  <si>
    <t>Building the constraint grid:</t>
  </si>
  <si>
    <t xml:space="preserve">    From Step 1, identify the minimum and maximum values achieved for Obj 2 (funding ratio) and Obj 3 (interest).</t>
  </si>
  <si>
    <t xml:space="preserve">    Divide each range into evenly spaced steps. For example, if Obj 2 ranges from 0.27 to 0.68, reasonable grid points might be:</t>
  </si>
  <si>
    <t xml:space="preserve">        Quartiles: 0.376, 0.478, 0.58 (i.e., 25%, 50%, 75% of the range from min to max).</t>
  </si>
  <si>
    <t xml:space="preserve">    Similarly for Obj 3, if interest ranges from $3,334 to $11,447, grid points might be: $5,362, $7,390, $9,419.</t>
  </si>
  <si>
    <t xml:space="preserve">    Each combination of an Obj 2 floor and an Obj 3 ceiling defines one Solver run. A 3x3 grid yields 9 interior runs (some may be infeasible).</t>
  </si>
  <si>
    <t>Running the interior sweep:</t>
  </si>
  <si>
    <t xml:space="preserve">    For each grid point (Runs 4 through 12):</t>
  </si>
  <si>
    <t xml:space="preserve">    1.  Enter the Obj 2 floor in B30 and the Obj 3 ceiling in B31.</t>
  </si>
  <si>
    <t xml:space="preserve">    2.  Leave B6:B9 at the values from the previous run (do NOT reset to zero for interior runs).</t>
  </si>
  <si>
    <t xml:space="preserve">    3.  Set Objective: $B$24 &gt; Max.  Solve.  Record results.</t>
  </si>
  <si>
    <t xml:space="preserve">    4.  If infeasible, record 'NA' and proceed to the next grid point.</t>
  </si>
  <si>
    <t>STEP 4: INTERPRET THE SIGNALS</t>
  </si>
  <si>
    <t>The composite efficiency signal is the minimum attainment ratio across all declared objectives. It answers: 'On the plan's weakest dimension, how close is it to what was achievable?'</t>
  </si>
  <si>
    <t>A near-efficient plan (close to 100%) with a clear preference justification represents a defensible recommendation.</t>
  </si>
  <si>
    <t>A dominated plan (measurably below 100%) means an avoidable improvement exists. FOSH makes this visible and quantifiable.</t>
  </si>
  <si>
    <t>FOSH does not adjudicate the cause of deviation. It only reports the deviation itself.</t>
  </si>
  <si>
    <t>WHAT YOU SHOULD SEE</t>
  </si>
  <si>
    <t>After completing all runs, your Pareto table should contain 11-12 rows of results (one or more may be infeasible, marked NA).</t>
  </si>
  <si>
    <t>The three extreme runs (1-3) should each show one objective at its best possible value, with the other objectives at their natural (unconstrained) levels.</t>
  </si>
  <si>
    <t>Interior runs should show intermediate trade-offs: as you tighten one constraint, the maximized objective decreases.</t>
  </si>
  <si>
    <t>If a run produces values identical to a previous run, the constraint for that run may not have been binding. This is normal at the edges of the feasible set.</t>
  </si>
  <si>
    <t>If many runs are infeasible, verify that your grid spacing is not too aggressive. Try adding a midpoint between working and non-working constraint values.</t>
  </si>
  <si>
    <t>If you modify household inputs on Sheet 1 or plan allocations on Sheet 2, you will need to re-run the entire Pareto sweep, as the frontier will change.</t>
  </si>
  <si>
    <t>TROUBLESHOOTING</t>
  </si>
  <si>
    <t>Solver reports 'local optimum found': The starting point may have trapped Solver in a suboptimal region. Try starting from equal allocation (~$265 each in B6:B9) and re-run.</t>
  </si>
  <si>
    <t>Solver reports 'infeasible' on a run you expect to work: Check that B30 and B31 values are within the ranges observed in Step 1. Also try leaving the previous run's decision variables in place rather than resetting.</t>
  </si>
  <si>
    <t>Budget constraint (B11) is not exactly zero: Minor floating-point differences (e.g., 1E-10) are normal and do not affect results.</t>
  </si>
  <si>
    <t>Results differ slightly from the paper's Table 2: Small differences may arise from Solver precision settings or starting points. Results should be directionally identical and numerically very close.</t>
  </si>
  <si>
    <t xml:space="preserve">This sheet declares all household facts used by both plans. Nothing here changes between Plan A and Plan B.
</t>
  </si>
  <si>
    <r>
      <rPr>
        <i/>
        <sz val="10"/>
        <color rgb="FF0000FF"/>
        <rFont val="Arial"/>
        <family val="2"/>
      </rPr>
      <t>Blue text = user inputs.</t>
    </r>
    <r>
      <rPr>
        <i/>
        <sz val="10"/>
        <color theme="1"/>
        <rFont val="Arial"/>
        <family val="2"/>
      </rPr>
      <t xml:space="preserve">  Black text = formulas.  </t>
    </r>
    <r>
      <rPr>
        <i/>
        <sz val="10"/>
        <color rgb="FF008000"/>
        <rFont val="Arial"/>
        <family val="2"/>
      </rPr>
      <t>Green text = cross-sheet links.</t>
    </r>
    <r>
      <rPr>
        <i/>
        <sz val="10"/>
        <color theme="1"/>
        <rFont val="Arial"/>
        <family val="2"/>
      </rPr>
      <t xml:space="preserve">  </t>
    </r>
  </si>
  <si>
    <t>Yellow highlight = declared household data.</t>
  </si>
  <si>
    <r>
      <rPr>
        <i/>
        <sz val="10"/>
        <color rgb="FF0000FF"/>
        <rFont val="Arial"/>
        <family val="2"/>
      </rPr>
      <t>Blue text</t>
    </r>
    <r>
      <rPr>
        <i/>
        <sz val="10"/>
        <color rgb="FF666666"/>
        <rFont val="Arial"/>
        <family val="2"/>
      </rPr>
      <t xml:space="preserve"> denotes that planner's recommended allocations.</t>
    </r>
  </si>
  <si>
    <t>This sheet finds the best possible outcomes across all three objectives simultaneously. Once filled, each row in the Pareto table below represents a different optimal trade-off: an allocation where no objective can be improved without worsening another.</t>
  </si>
  <si>
    <t>Illustration of a FOSH output artifact. Signals computed from declared inputs.</t>
  </si>
  <si>
    <t>STEP 1: FIND SINGLE-OBJECTIVE EXTREMES (first 3 runs)</t>
  </si>
  <si>
    <t>Efficiency: Obj 1 (retire $)</t>
  </si>
  <si>
    <t>Efficiency: Obj 2 (fund %)</t>
  </si>
  <si>
    <t>Efficiency: Obj 3 (interest $)</t>
  </si>
  <si>
    <t>&lt;100% = improvement available</t>
  </si>
  <si>
    <t>&lt;100% = interest savings available</t>
  </si>
  <si>
    <t>Efficiency Signal</t>
  </si>
  <si>
    <t>Coverage Signal</t>
  </si>
  <si>
    <t>3 active domains of 5 total</t>
  </si>
  <si>
    <t>Computed first because payoff months are needed by Objective 1. Mortgage interest is excluded from this objective. The mortgage minimum payment is reflected in the cash flow surplus calculation, but extra mortgage payments are not among the decision variables in this proof of concept, so mortgage interest is constant across all plans and does not affect relative efficiency.</t>
  </si>
  <si>
    <t xml:space="preserve">        Exception: Run 2 uses $B$25 (Max). Run 3 uses $B$26 (Min).</t>
  </si>
  <si>
    <t xml:space="preserve">    Set Objective: $B$26 &gt; Min.  Solve.  Record results in Pareto table row 3.</t>
  </si>
  <si>
    <t>NEAREST EFFICIENT POINT SEARCH</t>
  </si>
  <si>
    <t>For each plan, find the frontier point with identical retirement and education outcomes but minimum interest. This isolates the avoidable inefficiency, if any.</t>
  </si>
  <si>
    <t>See instructions for search procedure</t>
  </si>
  <si>
    <t>Nearest Obj 1</t>
  </si>
  <si>
    <t>Nearest Obj 2</t>
  </si>
  <si>
    <t>Nearest Obj 3</t>
  </si>
  <si>
    <t>STEP 3: FIND THE NEAREST EFFICIENT POINT FOR EACH PLAN (2 runs)</t>
  </si>
  <si>
    <t>Plan A and Plan B objective values appear in the Plan Comparison section near the bottom of Sheet 4 (rows 52-53, adjusted for any inserted rows).</t>
  </si>
  <si>
    <t>The 12-point frontier from Step 2 shows the shape of the trade-off surface. To compute precise efficiency signals, you now find the exact frontier point nearest to each plan.</t>
  </si>
  <si>
    <t>The approach: constrain Solver so that retirement balance and education funding ratio must be at least as good as the plan achieves, then minimize total interest paid. If Solver finds a lower interest cost than the plan achieved, the difference is avoidable inefficiency.</t>
  </si>
  <si>
    <t>Plan A nearest point:</t>
  </si>
  <si>
    <t xml:space="preserve">   1. Set B30 = 0 and B31 = 99999 (clear the epsilon constraints from Step 2).</t>
  </si>
  <si>
    <t xml:space="preserve">   3. Set Objective: $B$26 → Min.</t>
  </si>
  <si>
    <t>Plan B nearest point:</t>
  </si>
  <si>
    <t xml:space="preserve">   1. Change the two temporary constraints:</t>
  </si>
  <si>
    <t xml:space="preserve">   2. Set Objective: $B$26 → Min.</t>
  </si>
  <si>
    <t>After both runs, Sheet 5 rows 12-14 will auto-populate with the nearest efficient values, and the efficiency gap formulas will compute automatically.</t>
  </si>
  <si>
    <t>If the nearest point has interest equal to or higher than the plan's interest, the plan is on or very near the frontier for this combination of objectives — it is efficient.</t>
  </si>
  <si>
    <t xml:space="preserve">       $B$24 &gt;= $B$52   (retirement must match or exceed Plan A's value)</t>
  </si>
  <si>
    <t xml:space="preserve">   2. Add (or adjust) two temporary constraints in Solver:</t>
  </si>
  <si>
    <t xml:space="preserve">       $B$25 &gt;= $C$52   (education must match or exceed Plan A's funding ratio)</t>
  </si>
  <si>
    <t xml:space="preserve">   4. Solve. Record B24, B25, B26 in the results table (row 59).</t>
  </si>
  <si>
    <t xml:space="preserve">       $B$24 &gt;= $B$53   (retirement must match or exceed Plan B's value)</t>
  </si>
  <si>
    <t xml:space="preserve">       $B$25 &gt;= $C$53   (education must match or exceed Plan B's funding ratio)</t>
  </si>
  <si>
    <t xml:space="preserve">   3. Solve. Record B24, B25, B26 in the results table (row 60).</t>
  </si>
  <si>
    <t>$B$26 (MIN)</t>
  </si>
  <si>
    <t>Obj Cell for Solver</t>
  </si>
  <si>
    <t>$B$24 (MAX)</t>
  </si>
  <si>
    <t>$B$25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</si>
</sst>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
    <numFmt numFmtId="165" formatCode="0.0%"/>
    <numFmt numFmtId="166" formatCode="0.0000%"/>
    <numFmt numFmtId="167" formatCode="0.000%"/>
    <numFmt numFmtId="168" formatCode="&quot;$&quot;#,##0"/>
  </numFmts>
  <fonts count="33" x14ac:knownFonts="1">
    <font>
      <sz val="11"/>
      <color theme="1"/>
      <name val="Calibri"/>
      <family val="2"/>
      <charset val="1"/>
    </font>
    <font>
      <b/>
      <sz val="14"/>
      <color rgb="FF000000"/>
      <name val="Arial"/>
      <family val="2"/>
    </font>
    <font>
      <i/>
      <sz val="10"/>
      <color rgb="FF666666"/>
      <name val="Arial"/>
      <family val="2"/>
    </font>
    <font>
      <b/>
      <sz val="12"/>
      <color rgb="FF000000"/>
      <name val="Arial"/>
      <family val="2"/>
    </font>
    <font>
      <b/>
      <sz val="11"/>
      <color rgb="FFFFFFFF"/>
      <name val="Arial"/>
      <family val="2"/>
    </font>
    <font>
      <sz val="11"/>
      <color rgb="FF000000"/>
      <name val="Arial"/>
      <family val="2"/>
    </font>
    <font>
      <sz val="11"/>
      <color rgb="FF0000FF"/>
      <name val="Arial"/>
      <family val="2"/>
    </font>
    <font>
      <b/>
      <sz val="11"/>
      <color rgb="FF000000"/>
      <name val="Arial"/>
      <family val="2"/>
    </font>
    <font>
      <sz val="11"/>
      <color rgb="FF008000"/>
      <name val="Arial"/>
      <family val="2"/>
    </font>
    <font>
      <b/>
      <sz val="11"/>
      <color rgb="FF0000FF"/>
      <name val="Arial"/>
      <family val="2"/>
    </font>
    <font>
      <sz val="11"/>
      <color theme="1"/>
      <name val="Calibri"/>
      <family val="2"/>
      <charset val="1"/>
    </font>
    <font>
      <b/>
      <sz val="11"/>
      <color theme="1"/>
      <name val="Calibri"/>
      <family val="2"/>
    </font>
    <font>
      <sz val="12"/>
      <color theme="1"/>
      <name val="Calibri"/>
      <family val="2"/>
      <charset val="1"/>
    </font>
    <font>
      <i/>
      <sz val="10"/>
      <color rgb="FF666666"/>
      <name val="Arial"/>
      <family val="2"/>
    </font>
    <font>
      <i/>
      <sz val="10"/>
      <color rgb="FF0000FF"/>
      <name val="Arial"/>
      <family val="2"/>
    </font>
    <font>
      <i/>
      <sz val="10"/>
      <color rgb="FF000000"/>
      <name val="Arial"/>
      <family val="2"/>
    </font>
    <font>
      <i/>
      <sz val="9"/>
      <color rgb="FF666666"/>
      <name val="Arial"/>
      <family val="2"/>
    </font>
    <font>
      <b/>
      <sz val="14"/>
      <name val="Arial"/>
      <family val="2"/>
    </font>
    <font>
      <b/>
      <sz val="12"/>
      <name val="Arial"/>
      <family val="2"/>
    </font>
    <font>
      <sz val="10"/>
      <name val="Arial"/>
      <family val="2"/>
    </font>
    <font>
      <b/>
      <sz val="10"/>
      <name val="Arial"/>
      <family val="2"/>
    </font>
    <font>
      <b/>
      <sz val="11"/>
      <name val="Arial"/>
      <family val="2"/>
    </font>
    <font>
      <i/>
      <sz val="10"/>
      <name val="Arial"/>
      <family val="2"/>
    </font>
    <font>
      <i/>
      <sz val="10"/>
      <color theme="1"/>
      <name val="Arial"/>
      <family val="2"/>
    </font>
    <font>
      <i/>
      <sz val="10"/>
      <color rgb="FF008000"/>
      <name val="Arial"/>
      <family val="2"/>
    </font>
    <font>
      <sz val="11"/>
      <name val="Arial"/>
      <family val="2"/>
    </font>
    <font>
      <sz val="11"/>
      <color theme="1" tint="0.499984740745262"/>
      <name val="Arial"/>
      <family val="2"/>
    </font>
    <font>
      <i/>
      <sz val="10"/>
      <color theme="1" tint="0.499984740745262"/>
      <name val="Arial"/>
      <family val="2"/>
    </font>
    <font>
      <i/>
      <sz val="11"/>
      <color theme="1" tint="0.499984740745262"/>
      <name val="Calibri"/>
      <family val="2"/>
    </font>
    <font>
      <sz val="11"/>
      <color theme="1"/>
      <name val="Arial"/>
      <family val="2"/>
    </font>
    <font>
      <b/>
      <sz val="11"/>
      <color theme="1"/>
      <name val="Arial"/>
      <family val="2"/>
    </font>
    <font>
      <sz val="10"/>
      <color theme="1"/>
      <name val="Arial"/>
      <family val="2"/>
    </font>
    <font>
      <b/>
      <sz val="10"/>
      <color theme="1"/>
      <name val="Arial"/>
      <family val="2"/>
    </font>
  </fonts>
  <fills count="12">
    <fill>
      <patternFill patternType="none"/>
    </fill>
    <fill>
      <patternFill patternType="gray125"/>
    </fill>
    <fill>
      <patternFill patternType="solid">
        <fgColor rgb="FFD6E4F0"/>
        <bgColor rgb="FFE2EFDA"/>
      </patternFill>
    </fill>
    <fill>
      <patternFill patternType="solid">
        <fgColor rgb="FF2F5496"/>
        <bgColor rgb="FF404040"/>
      </patternFill>
    </fill>
    <fill>
      <patternFill patternType="solid">
        <fgColor rgb="FFFFFFFF"/>
        <bgColor rgb="FFE2EFDA"/>
      </patternFill>
    </fill>
    <fill>
      <patternFill patternType="solid">
        <fgColor rgb="FFFFFF00"/>
        <bgColor rgb="FFFFFF00"/>
      </patternFill>
    </fill>
    <fill>
      <patternFill patternType="solid">
        <fgColor rgb="FFE2EFDA"/>
        <bgColor rgb="FFD6E4F0"/>
      </patternFill>
    </fill>
    <fill>
      <patternFill patternType="solid">
        <fgColor rgb="FFFCE4D6"/>
        <bgColor rgb="FFE2EFDA"/>
      </patternFill>
    </fill>
    <fill>
      <patternFill patternType="solid">
        <fgColor theme="4"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6" tint="0.79998168889431442"/>
        <bgColor rgb="FFE2EFDA"/>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3">
    <xf numFmtId="0" fontId="0" fillId="0" borderId="0"/>
    <xf numFmtId="9" fontId="10" fillId="0" borderId="0"/>
    <xf numFmtId="44" fontId="10" fillId="0" borderId="0"/>
  </cellStyleXfs>
  <cellXfs count="99">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1" xfId="0" applyFont="1" applyFill="1" applyBorder="1" applyAlignment="1">
      <alignment horizontal="center" wrapText="1"/>
    </xf>
    <xf numFmtId="0" fontId="5" fillId="4" borderId="1" xfId="0" applyFont="1" applyFill="1" applyBorder="1" applyAlignment="1">
      <alignment horizontal="left"/>
    </xf>
    <xf numFmtId="0" fontId="6" fillId="4" borderId="1" xfId="0" applyFont="1" applyFill="1" applyBorder="1" applyAlignment="1">
      <alignment horizontal="center"/>
    </xf>
    <xf numFmtId="0" fontId="2" fillId="4" borderId="1" xfId="0" applyFont="1" applyFill="1" applyBorder="1" applyAlignment="1">
      <alignment horizontal="center"/>
    </xf>
    <xf numFmtId="164" fontId="6" fillId="4" borderId="1" xfId="0" applyNumberFormat="1" applyFont="1" applyFill="1" applyBorder="1" applyAlignment="1">
      <alignment horizontal="center"/>
    </xf>
    <xf numFmtId="164" fontId="5" fillId="4" borderId="1" xfId="0" applyNumberFormat="1" applyFont="1" applyFill="1" applyBorder="1" applyAlignment="1">
      <alignment horizontal="center"/>
    </xf>
    <xf numFmtId="0" fontId="7" fillId="4" borderId="1" xfId="0" applyFont="1" applyFill="1" applyBorder="1" applyAlignment="1">
      <alignment horizontal="left"/>
    </xf>
    <xf numFmtId="165" fontId="6" fillId="4" borderId="1" xfId="0" applyNumberFormat="1" applyFont="1" applyFill="1" applyBorder="1" applyAlignment="1">
      <alignment horizontal="center"/>
    </xf>
    <xf numFmtId="164" fontId="8" fillId="4" borderId="1" xfId="0" applyNumberFormat="1" applyFont="1" applyFill="1" applyBorder="1" applyAlignment="1">
      <alignment horizontal="center"/>
    </xf>
    <xf numFmtId="0" fontId="5" fillId="4" borderId="1" xfId="0" applyFont="1" applyFill="1" applyBorder="1" applyAlignment="1">
      <alignment horizontal="center"/>
    </xf>
    <xf numFmtId="164" fontId="5" fillId="5" borderId="1" xfId="0" applyNumberFormat="1" applyFont="1" applyFill="1" applyBorder="1" applyAlignment="1">
      <alignment horizontal="center"/>
    </xf>
    <xf numFmtId="0" fontId="5" fillId="6" borderId="1" xfId="0" applyFont="1" applyFill="1" applyBorder="1" applyAlignment="1">
      <alignment horizontal="left"/>
    </xf>
    <xf numFmtId="0" fontId="5" fillId="6" borderId="1" xfId="0" applyFont="1" applyFill="1" applyBorder="1" applyAlignment="1">
      <alignment horizontal="center"/>
    </xf>
    <xf numFmtId="0" fontId="5" fillId="7" borderId="1" xfId="0" applyFont="1" applyFill="1" applyBorder="1" applyAlignment="1">
      <alignment horizontal="left"/>
    </xf>
    <xf numFmtId="0" fontId="5" fillId="7" borderId="1" xfId="0" applyFont="1" applyFill="1" applyBorder="1" applyAlignment="1">
      <alignment horizontal="center"/>
    </xf>
    <xf numFmtId="0" fontId="7" fillId="0" borderId="0" xfId="0" applyFont="1"/>
    <xf numFmtId="164" fontId="8" fillId="5" borderId="1" xfId="0" applyNumberFormat="1" applyFont="1" applyFill="1" applyBorder="1"/>
    <xf numFmtId="0" fontId="3" fillId="6" borderId="0" xfId="0" applyFont="1" applyFill="1"/>
    <xf numFmtId="0" fontId="0" fillId="6" borderId="0" xfId="0" applyFill="1"/>
    <xf numFmtId="165" fontId="5" fillId="4" borderId="1" xfId="0" applyNumberFormat="1" applyFont="1" applyFill="1" applyBorder="1" applyAlignment="1">
      <alignment horizontal="center"/>
    </xf>
    <xf numFmtId="0" fontId="7" fillId="0" borderId="1" xfId="0" applyFont="1" applyBorder="1"/>
    <xf numFmtId="164" fontId="5" fillId="0" borderId="1" xfId="0" applyNumberFormat="1" applyFont="1" applyBorder="1"/>
    <xf numFmtId="165" fontId="5" fillId="0" borderId="1" xfId="0" applyNumberFormat="1" applyFont="1" applyBorder="1"/>
    <xf numFmtId="0" fontId="5" fillId="0" borderId="1" xfId="0" applyFont="1" applyBorder="1"/>
    <xf numFmtId="0" fontId="3" fillId="7" borderId="0" xfId="0" applyFont="1" applyFill="1"/>
    <xf numFmtId="0" fontId="0" fillId="7" borderId="0" xfId="0" applyFill="1"/>
    <xf numFmtId="166" fontId="8" fillId="0" borderId="1" xfId="0" applyNumberFormat="1" applyFont="1" applyBorder="1"/>
    <xf numFmtId="3" fontId="8" fillId="0" borderId="1" xfId="0" applyNumberFormat="1" applyFont="1" applyBorder="1"/>
    <xf numFmtId="164" fontId="8" fillId="0" borderId="1" xfId="0" applyNumberFormat="1" applyFont="1" applyBorder="1"/>
    <xf numFmtId="167" fontId="8" fillId="0" borderId="1" xfId="0" applyNumberFormat="1" applyFont="1" applyBorder="1"/>
    <xf numFmtId="4" fontId="5" fillId="4" borderId="1" xfId="0" applyNumberFormat="1" applyFont="1" applyFill="1" applyBorder="1" applyAlignment="1">
      <alignment horizontal="center"/>
    </xf>
    <xf numFmtId="0" fontId="7" fillId="5" borderId="1" xfId="0" applyFont="1" applyFill="1" applyBorder="1" applyAlignment="1">
      <alignment horizontal="left"/>
    </xf>
    <xf numFmtId="165" fontId="5" fillId="5" borderId="1" xfId="0" applyNumberFormat="1" applyFont="1" applyFill="1" applyBorder="1" applyAlignment="1">
      <alignment horizontal="center"/>
    </xf>
    <xf numFmtId="164" fontId="9" fillId="5" borderId="1" xfId="0" applyNumberFormat="1" applyFont="1" applyFill="1" applyBorder="1" applyAlignment="1">
      <alignment horizontal="center"/>
    </xf>
    <xf numFmtId="0" fontId="5" fillId="0" borderId="0" xfId="0" applyFont="1"/>
    <xf numFmtId="166" fontId="8" fillId="0" borderId="0" xfId="0" applyNumberFormat="1" applyFont="1"/>
    <xf numFmtId="3" fontId="8" fillId="0" borderId="0" xfId="0" applyNumberFormat="1" applyFont="1"/>
    <xf numFmtId="164" fontId="5" fillId="0" borderId="0" xfId="0" applyNumberFormat="1" applyFont="1"/>
    <xf numFmtId="4" fontId="5" fillId="0" borderId="0" xfId="0" applyNumberFormat="1" applyFont="1"/>
    <xf numFmtId="0" fontId="5" fillId="0" borderId="1" xfId="0" applyFont="1" applyBorder="1" applyAlignment="1">
      <alignment horizontal="center"/>
    </xf>
    <xf numFmtId="164" fontId="6" fillId="0" borderId="1" xfId="0" applyNumberFormat="1" applyFont="1" applyBorder="1"/>
    <xf numFmtId="165" fontId="6" fillId="0" borderId="1" xfId="0" applyNumberFormat="1" applyFont="1" applyBorder="1"/>
    <xf numFmtId="165" fontId="8" fillId="0" borderId="1" xfId="0" applyNumberFormat="1" applyFont="1" applyBorder="1"/>
    <xf numFmtId="165" fontId="8" fillId="4" borderId="1" xfId="0" applyNumberFormat="1" applyFont="1" applyFill="1" applyBorder="1" applyAlignment="1">
      <alignment horizontal="center"/>
    </xf>
    <xf numFmtId="165" fontId="0" fillId="0" borderId="0" xfId="0" applyNumberFormat="1"/>
    <xf numFmtId="165" fontId="6" fillId="0" borderId="1" xfId="1" applyNumberFormat="1" applyFont="1" applyBorder="1"/>
    <xf numFmtId="164" fontId="0" fillId="0" borderId="0" xfId="0" applyNumberFormat="1"/>
    <xf numFmtId="168" fontId="6" fillId="4" borderId="1" xfId="2" applyNumberFormat="1" applyFont="1" applyFill="1" applyBorder="1" applyAlignment="1">
      <alignment horizontal="center"/>
    </xf>
    <xf numFmtId="0" fontId="13" fillId="0" borderId="0" xfId="0" applyFont="1"/>
    <xf numFmtId="0" fontId="16" fillId="0" borderId="0" xfId="0" applyFont="1"/>
    <xf numFmtId="0" fontId="17" fillId="0" borderId="0" xfId="0" applyFont="1" applyAlignment="1">
      <alignment wrapText="1"/>
    </xf>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 fillId="0" borderId="0" xfId="0" applyFont="1" applyAlignment="1">
      <alignment wrapText="1"/>
    </xf>
    <xf numFmtId="0" fontId="22" fillId="0" borderId="0" xfId="0" applyFont="1"/>
    <xf numFmtId="0" fontId="23" fillId="0" borderId="0" xfId="0" applyFont="1"/>
    <xf numFmtId="0" fontId="23" fillId="9" borderId="0" xfId="0" applyFont="1" applyFill="1"/>
    <xf numFmtId="164" fontId="25" fillId="4" borderId="1" xfId="0" applyNumberFormat="1" applyFont="1" applyFill="1" applyBorder="1" applyAlignment="1">
      <alignment horizontal="center"/>
    </xf>
    <xf numFmtId="0" fontId="26" fillId="0" borderId="1" xfId="0" applyFont="1" applyBorder="1"/>
    <xf numFmtId="164" fontId="26" fillId="0" borderId="1" xfId="0" applyNumberFormat="1" applyFont="1" applyBorder="1"/>
    <xf numFmtId="164" fontId="21" fillId="0" borderId="1" xfId="0" applyNumberFormat="1" applyFont="1" applyBorder="1"/>
    <xf numFmtId="0" fontId="19" fillId="0" borderId="0" xfId="0" applyFont="1"/>
    <xf numFmtId="165" fontId="9" fillId="0" borderId="1" xfId="0" applyNumberFormat="1" applyFont="1" applyBorder="1"/>
    <xf numFmtId="164" fontId="9" fillId="0" borderId="1" xfId="0" applyNumberFormat="1" applyFont="1" applyBorder="1"/>
    <xf numFmtId="0" fontId="5" fillId="0" borderId="1" xfId="0" applyFont="1" applyBorder="1" applyAlignment="1">
      <alignment horizontal="left"/>
    </xf>
    <xf numFmtId="0" fontId="15" fillId="0" borderId="1" xfId="0" applyFont="1" applyBorder="1" applyAlignment="1">
      <alignment horizontal="center"/>
    </xf>
    <xf numFmtId="0" fontId="7" fillId="11" borderId="1" xfId="0" applyFont="1" applyFill="1" applyBorder="1" applyAlignment="1">
      <alignment horizontal="left"/>
    </xf>
    <xf numFmtId="0" fontId="2" fillId="11" borderId="1" xfId="0" applyFont="1" applyFill="1" applyBorder="1" applyAlignment="1">
      <alignment horizontal="center"/>
    </xf>
    <xf numFmtId="0" fontId="7" fillId="10" borderId="1" xfId="0" applyFont="1" applyFill="1" applyBorder="1" applyAlignment="1">
      <alignment horizontal="left"/>
    </xf>
    <xf numFmtId="0" fontId="5" fillId="10" borderId="1" xfId="0" applyFont="1" applyFill="1" applyBorder="1" applyAlignment="1">
      <alignment horizontal="center"/>
    </xf>
    <xf numFmtId="9" fontId="11" fillId="10" borderId="1" xfId="1" applyFont="1" applyFill="1" applyBorder="1" applyAlignment="1">
      <alignment horizontal="center"/>
    </xf>
    <xf numFmtId="0" fontId="15" fillId="10" borderId="1" xfId="0" applyFont="1" applyFill="1" applyBorder="1" applyAlignment="1">
      <alignment horizontal="center"/>
    </xf>
    <xf numFmtId="0" fontId="28" fillId="0" borderId="0" xfId="0" applyFont="1"/>
    <xf numFmtId="0" fontId="29" fillId="0" borderId="0" xfId="0" applyFont="1"/>
    <xf numFmtId="0" fontId="30" fillId="0" borderId="0" xfId="0" applyFont="1"/>
    <xf numFmtId="0" fontId="31" fillId="0" borderId="0" xfId="0" applyFont="1"/>
    <xf numFmtId="0" fontId="31" fillId="0" borderId="0" xfId="0" applyFont="1" applyAlignment="1">
      <alignment wrapText="1"/>
    </xf>
    <xf numFmtId="0" fontId="32" fillId="0" borderId="0" xfId="0" applyFont="1"/>
    <xf numFmtId="0" fontId="13" fillId="0" borderId="0" xfId="0" applyFont="1" applyAlignment="1">
      <alignment horizontal="left" wrapText="1"/>
    </xf>
    <xf numFmtId="0" fontId="2" fillId="0" borderId="0" xfId="0" applyFont="1" applyAlignment="1">
      <alignment horizontal="left" wrapText="1"/>
    </xf>
    <xf numFmtId="0" fontId="12" fillId="8" borderId="2" xfId="0" applyFont="1" applyFill="1" applyBorder="1" applyAlignment="1">
      <alignment horizontal="center"/>
    </xf>
    <xf numFmtId="0" fontId="0" fillId="0" borderId="2" xfId="0" applyBorder="1"/>
    <xf numFmtId="0" fontId="27" fillId="0" borderId="0" xfId="0" applyFont="1" applyAlignment="1">
      <alignment horizontal="left" wrapText="1"/>
    </xf>
    <xf numFmtId="0" fontId="3" fillId="7" borderId="0" xfId="0" applyFont="1" applyFill="1" applyAlignment="1">
      <alignment horizontal="left"/>
    </xf>
    <xf numFmtId="168" fontId="8" fillId="0" borderId="1" xfId="2" applyNumberFormat="1" applyFont="1" applyBorder="1"/>
    <xf numFmtId="168" fontId="30" fillId="0" borderId="1" xfId="2" applyNumberFormat="1" applyFont="1" applyBorder="1"/>
    <xf numFmtId="165" fontId="30" fillId="0" borderId="1" xfId="1" applyNumberFormat="1" applyFont="1" applyBorder="1"/>
    <xf numFmtId="168" fontId="30" fillId="0" borderId="1" xfId="0" applyNumberFormat="1" applyFont="1" applyBorder="1"/>
    <xf numFmtId="164" fontId="7" fillId="0" borderId="1" xfId="0" applyNumberFormat="1" applyFont="1" applyBorder="1"/>
    <xf numFmtId="165" fontId="7" fillId="0" borderId="1" xfId="0" applyNumberFormat="1" applyFont="1" applyBorder="1"/>
    <xf numFmtId="165" fontId="29" fillId="0" borderId="1" xfId="1" applyNumberFormat="1" applyFont="1" applyBorder="1" applyAlignment="1">
      <alignment horizontal="center"/>
    </xf>
    <xf numFmtId="165" fontId="11" fillId="10" borderId="1" xfId="1" applyNumberFormat="1" applyFont="1" applyFill="1" applyBorder="1" applyAlignment="1">
      <alignment horizontal="center"/>
    </xf>
  </cellXfs>
  <cellStyles count="3">
    <cellStyle name="Currency" xfId="2" builtinId="4"/>
    <cellStyle name="Normal" xfId="0" builtinId="0"/>
    <cellStyle name="Percent" xfId="1" builtinId="5"/>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7030A0"/>
      <rgbColor rgb="FFFCE4D6"/>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BF8F00"/>
      <rgbColor rgb="FFFF6600"/>
      <rgbColor rgb="FF666666"/>
      <rgbColor rgb="FF969696"/>
      <rgbColor rgb="FF003366"/>
      <rgbColor rgb="FF339966"/>
      <rgbColor rgb="FF003300"/>
      <rgbColor rgb="FF333300"/>
      <rgbColor rgb="FF993300"/>
      <rgbColor rgb="FF993366"/>
      <rgbColor rgb="FF2F5496"/>
      <rgbColor rgb="FF404040"/>
      <rgbColor rgb="00003366"/>
      <rgbColor rgb="00339966"/>
      <rgbColor rgb="00003300"/>
      <rgbColor rgb="00333300"/>
      <rgbColor rgb="00993300"/>
      <rgbColor rgb="00993366"/>
      <rgbColor rgb="00333399"/>
      <rgbColor rgb="00333333"/>
    </indexedColors>
    <mruColors>
      <color rgb="FF008000"/>
      <color rgb="FFFCE4D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496"/>
  </sheetPr>
  <dimension ref="A1:D60"/>
  <sheetViews>
    <sheetView topLeftCell="A23" zoomScaleNormal="100" workbookViewId="0">
      <selection activeCell="D46" sqref="D46"/>
    </sheetView>
  </sheetViews>
  <sheetFormatPr defaultColWidth="8.7109375" defaultRowHeight="15" x14ac:dyDescent="0.25"/>
  <cols>
    <col min="1" max="1" width="35" customWidth="1"/>
    <col min="2" max="3" width="22" customWidth="1"/>
    <col min="4" max="4" width="37.5703125" bestFit="1" customWidth="1"/>
    <col min="5" max="5" width="24.42578125" bestFit="1" customWidth="1"/>
  </cols>
  <sheetData>
    <row r="1" spans="1:4" ht="17.25" customHeight="1" x14ac:dyDescent="0.25">
      <c r="A1" s="1" t="s">
        <v>48</v>
      </c>
    </row>
    <row r="2" spans="1:4" ht="15" customHeight="1" x14ac:dyDescent="0.25">
      <c r="A2" s="61" t="s">
        <v>370</v>
      </c>
    </row>
    <row r="3" spans="1:4" x14ac:dyDescent="0.25">
      <c r="A3" s="62" t="s">
        <v>371</v>
      </c>
      <c r="D3" s="63" t="s">
        <v>372</v>
      </c>
    </row>
    <row r="4" spans="1:4" ht="15" customHeight="1" x14ac:dyDescent="0.25">
      <c r="A4" s="3" t="s">
        <v>49</v>
      </c>
      <c r="B4" s="4"/>
      <c r="C4" s="4"/>
      <c r="D4" s="4"/>
    </row>
    <row r="5" spans="1:4" ht="15" customHeight="1" x14ac:dyDescent="0.25">
      <c r="A5" s="5" t="s">
        <v>50</v>
      </c>
      <c r="B5" s="5" t="s">
        <v>51</v>
      </c>
      <c r="C5" s="5" t="s">
        <v>52</v>
      </c>
      <c r="D5" s="5" t="s">
        <v>53</v>
      </c>
    </row>
    <row r="6" spans="1:4" ht="15" customHeight="1" x14ac:dyDescent="0.25">
      <c r="A6" s="6" t="s">
        <v>54</v>
      </c>
      <c r="B6" s="7">
        <v>44</v>
      </c>
      <c r="C6" s="7">
        <v>42</v>
      </c>
      <c r="D6" s="8" t="s">
        <v>55</v>
      </c>
    </row>
    <row r="7" spans="1:4" ht="15" customHeight="1" x14ac:dyDescent="0.25">
      <c r="A7" s="6" t="s">
        <v>56</v>
      </c>
      <c r="B7" s="7" t="s">
        <v>57</v>
      </c>
      <c r="C7" s="7"/>
      <c r="D7" s="8" t="s">
        <v>55</v>
      </c>
    </row>
    <row r="8" spans="1:4" ht="15" customHeight="1" x14ac:dyDescent="0.25">
      <c r="A8" s="6" t="s">
        <v>58</v>
      </c>
      <c r="B8" s="7" t="s">
        <v>59</v>
      </c>
      <c r="C8" s="7"/>
      <c r="D8" s="8" t="s">
        <v>55</v>
      </c>
    </row>
    <row r="9" spans="1:4" ht="15" customHeight="1" x14ac:dyDescent="0.25">
      <c r="A9" s="6" t="s">
        <v>60</v>
      </c>
      <c r="B9" s="7">
        <v>2</v>
      </c>
      <c r="C9" s="7"/>
      <c r="D9" s="8" t="s">
        <v>61</v>
      </c>
    </row>
    <row r="10" spans="1:4" ht="15" customHeight="1" x14ac:dyDescent="0.25">
      <c r="A10" s="6" t="s">
        <v>62</v>
      </c>
      <c r="B10" s="7">
        <v>65</v>
      </c>
      <c r="C10" s="7">
        <v>65</v>
      </c>
      <c r="D10" s="8" t="s">
        <v>63</v>
      </c>
    </row>
    <row r="12" spans="1:4" ht="15" customHeight="1" x14ac:dyDescent="0.25">
      <c r="A12" s="3" t="s">
        <v>64</v>
      </c>
      <c r="B12" s="4"/>
      <c r="C12" s="4"/>
      <c r="D12" s="4"/>
    </row>
    <row r="13" spans="1:4" ht="15" customHeight="1" x14ac:dyDescent="0.25">
      <c r="A13" s="5" t="s">
        <v>50</v>
      </c>
      <c r="B13" s="5" t="s">
        <v>65</v>
      </c>
      <c r="C13" s="5" t="s">
        <v>66</v>
      </c>
      <c r="D13" s="5" t="s">
        <v>53</v>
      </c>
    </row>
    <row r="14" spans="1:4" ht="15" customHeight="1" x14ac:dyDescent="0.25">
      <c r="A14" s="6" t="s">
        <v>67</v>
      </c>
      <c r="B14" s="9">
        <v>110000</v>
      </c>
      <c r="C14" s="10">
        <f>B14/12</f>
        <v>9166.6666666666661</v>
      </c>
      <c r="D14" s="8" t="s">
        <v>68</v>
      </c>
    </row>
    <row r="15" spans="1:4" ht="15" customHeight="1" x14ac:dyDescent="0.25">
      <c r="A15" s="6" t="s">
        <v>69</v>
      </c>
      <c r="B15" s="9">
        <v>75000</v>
      </c>
      <c r="C15" s="10">
        <f>B15/12</f>
        <v>6250</v>
      </c>
      <c r="D15" s="8" t="s">
        <v>68</v>
      </c>
    </row>
    <row r="16" spans="1:4" ht="15" customHeight="1" x14ac:dyDescent="0.25">
      <c r="A16" s="11" t="s">
        <v>70</v>
      </c>
      <c r="B16" s="10">
        <f>B14+B15</f>
        <v>185000</v>
      </c>
      <c r="C16" s="10">
        <f>C14+C15</f>
        <v>15416.666666666666</v>
      </c>
      <c r="D16" s="8" t="s">
        <v>71</v>
      </c>
    </row>
    <row r="18" spans="1:4" ht="15" customHeight="1" x14ac:dyDescent="0.25">
      <c r="A18" s="3" t="s">
        <v>72</v>
      </c>
      <c r="B18" s="4"/>
      <c r="C18" s="4"/>
      <c r="D18" s="4"/>
    </row>
    <row r="19" spans="1:4" ht="15" customHeight="1" x14ac:dyDescent="0.25">
      <c r="A19" s="5" t="s">
        <v>73</v>
      </c>
      <c r="B19" s="5" t="s">
        <v>74</v>
      </c>
      <c r="C19" s="5" t="s">
        <v>75</v>
      </c>
      <c r="D19" s="5" t="s">
        <v>53</v>
      </c>
    </row>
    <row r="20" spans="1:4" ht="15" customHeight="1" x14ac:dyDescent="0.25">
      <c r="A20" s="6" t="s">
        <v>76</v>
      </c>
      <c r="B20" s="9">
        <v>185000</v>
      </c>
      <c r="C20" s="9">
        <v>917</v>
      </c>
      <c r="D20" s="8" t="s">
        <v>77</v>
      </c>
    </row>
    <row r="21" spans="1:4" ht="15" customHeight="1" x14ac:dyDescent="0.25">
      <c r="A21" s="6" t="s">
        <v>78</v>
      </c>
      <c r="B21" s="9">
        <v>92000</v>
      </c>
      <c r="C21" s="9">
        <v>625</v>
      </c>
      <c r="D21" s="8" t="s">
        <v>79</v>
      </c>
    </row>
    <row r="22" spans="1:4" ht="15" customHeight="1" x14ac:dyDescent="0.25">
      <c r="A22" s="6" t="s">
        <v>80</v>
      </c>
      <c r="B22" s="9">
        <v>28000</v>
      </c>
      <c r="C22" s="9">
        <v>0</v>
      </c>
      <c r="D22" s="8" t="s">
        <v>68</v>
      </c>
    </row>
    <row r="23" spans="1:4" ht="15" customHeight="1" x14ac:dyDescent="0.25">
      <c r="A23" s="6" t="s">
        <v>81</v>
      </c>
      <c r="B23" s="9">
        <v>22000</v>
      </c>
      <c r="C23" s="9">
        <v>200</v>
      </c>
      <c r="D23" s="8" t="s">
        <v>68</v>
      </c>
    </row>
    <row r="24" spans="1:4" ht="15" customHeight="1" x14ac:dyDescent="0.25">
      <c r="A24" s="6" t="s">
        <v>82</v>
      </c>
      <c r="B24" s="9">
        <v>195000</v>
      </c>
      <c r="C24" s="9"/>
      <c r="D24" s="8" t="s">
        <v>83</v>
      </c>
    </row>
    <row r="26" spans="1:4" ht="15" customHeight="1" x14ac:dyDescent="0.25">
      <c r="A26" s="3" t="s">
        <v>84</v>
      </c>
      <c r="B26" s="4"/>
      <c r="C26" s="4"/>
      <c r="D26" s="4"/>
    </row>
    <row r="27" spans="1:4" ht="15" customHeight="1" x14ac:dyDescent="0.25">
      <c r="A27" s="5" t="s">
        <v>85</v>
      </c>
      <c r="B27" s="5" t="s">
        <v>74</v>
      </c>
      <c r="C27" s="5" t="s">
        <v>86</v>
      </c>
      <c r="D27" s="5" t="s">
        <v>87</v>
      </c>
    </row>
    <row r="28" spans="1:4" ht="15" customHeight="1" x14ac:dyDescent="0.25">
      <c r="A28" s="6" t="s">
        <v>88</v>
      </c>
      <c r="B28" s="9">
        <v>18500</v>
      </c>
      <c r="C28" s="12">
        <v>5.8999999999999997E-2</v>
      </c>
      <c r="D28" s="52">
        <v>373</v>
      </c>
    </row>
    <row r="29" spans="1:4" ht="15" customHeight="1" x14ac:dyDescent="0.25">
      <c r="A29" s="6" t="s">
        <v>89</v>
      </c>
      <c r="B29" s="9">
        <v>31000</v>
      </c>
      <c r="C29" s="12">
        <v>4.4999999999999998E-2</v>
      </c>
      <c r="D29" s="52">
        <v>290</v>
      </c>
    </row>
    <row r="30" spans="1:4" ht="15" customHeight="1" x14ac:dyDescent="0.25">
      <c r="A30" s="6" t="s">
        <v>90</v>
      </c>
      <c r="B30" s="9">
        <v>280000</v>
      </c>
      <c r="C30" s="12">
        <v>3.7499999999999999E-2</v>
      </c>
      <c r="D30" s="52">
        <v>1297</v>
      </c>
    </row>
    <row r="32" spans="1:4" ht="15" customHeight="1" x14ac:dyDescent="0.25">
      <c r="A32" s="3" t="s">
        <v>91</v>
      </c>
      <c r="B32" s="4"/>
      <c r="C32" s="4"/>
      <c r="D32" s="4"/>
    </row>
    <row r="33" spans="1:4" ht="15" customHeight="1" x14ac:dyDescent="0.25">
      <c r="A33" s="5" t="s">
        <v>50</v>
      </c>
      <c r="B33" s="5" t="s">
        <v>66</v>
      </c>
      <c r="C33" s="5"/>
      <c r="D33" s="5" t="s">
        <v>53</v>
      </c>
    </row>
    <row r="34" spans="1:4" ht="15" customHeight="1" x14ac:dyDescent="0.25">
      <c r="A34" s="6" t="s">
        <v>92</v>
      </c>
      <c r="B34" s="64">
        <f>C16</f>
        <v>15416.666666666666</v>
      </c>
      <c r="C34" s="14"/>
      <c r="D34" s="8" t="s">
        <v>93</v>
      </c>
    </row>
    <row r="35" spans="1:4" ht="15" customHeight="1" x14ac:dyDescent="0.25">
      <c r="A35" s="6" t="s">
        <v>94</v>
      </c>
      <c r="B35" s="10">
        <f>ROUND(B34*0.25,0)</f>
        <v>3854</v>
      </c>
      <c r="C35" s="14"/>
      <c r="D35" s="8" t="s">
        <v>95</v>
      </c>
    </row>
    <row r="36" spans="1:4" ht="15" customHeight="1" x14ac:dyDescent="0.25">
      <c r="A36" s="6" t="s">
        <v>96</v>
      </c>
      <c r="B36" s="9">
        <v>6800</v>
      </c>
      <c r="C36" s="14"/>
      <c r="D36" s="8" t="s">
        <v>97</v>
      </c>
    </row>
    <row r="37" spans="1:4" ht="15" customHeight="1" x14ac:dyDescent="0.25">
      <c r="A37" s="6" t="s">
        <v>98</v>
      </c>
      <c r="B37" s="64">
        <f>C20+C21</f>
        <v>1542</v>
      </c>
      <c r="C37" s="14"/>
      <c r="D37" s="8" t="s">
        <v>93</v>
      </c>
    </row>
    <row r="38" spans="1:4" ht="15" customHeight="1" x14ac:dyDescent="0.25">
      <c r="A38" s="6" t="s">
        <v>99</v>
      </c>
      <c r="B38" s="64">
        <f>C23</f>
        <v>200</v>
      </c>
      <c r="C38" s="14"/>
      <c r="D38" s="8" t="s">
        <v>93</v>
      </c>
    </row>
    <row r="39" spans="1:4" ht="15" customHeight="1" x14ac:dyDescent="0.25">
      <c r="A39" s="6" t="s">
        <v>100</v>
      </c>
      <c r="B39" s="64">
        <f>SUM(D28:D30)</f>
        <v>1960</v>
      </c>
      <c r="C39" s="14"/>
      <c r="D39" s="8" t="s">
        <v>93</v>
      </c>
    </row>
    <row r="40" spans="1:4" ht="15" customHeight="1" x14ac:dyDescent="0.25">
      <c r="A40" s="11" t="s">
        <v>101</v>
      </c>
      <c r="B40" s="15">
        <f>B34-B35-B36-B37-B38-B39</f>
        <v>1060.6666666666661</v>
      </c>
      <c r="C40" s="14"/>
      <c r="D40" s="8" t="s">
        <v>102</v>
      </c>
    </row>
    <row r="42" spans="1:4" ht="15" customHeight="1" x14ac:dyDescent="0.25">
      <c r="A42" s="3" t="s">
        <v>103</v>
      </c>
      <c r="B42" s="4"/>
      <c r="C42" s="4"/>
      <c r="D42" s="4"/>
    </row>
    <row r="43" spans="1:4" ht="15" customHeight="1" x14ac:dyDescent="0.25">
      <c r="A43" s="5" t="s">
        <v>104</v>
      </c>
      <c r="B43" s="5" t="s">
        <v>105</v>
      </c>
      <c r="C43" s="5" t="s">
        <v>106</v>
      </c>
      <c r="D43" s="5" t="s">
        <v>107</v>
      </c>
    </row>
    <row r="44" spans="1:4" ht="15" customHeight="1" x14ac:dyDescent="0.25">
      <c r="A44" s="16" t="s">
        <v>108</v>
      </c>
      <c r="B44" s="17" t="s">
        <v>109</v>
      </c>
      <c r="C44" s="17" t="s">
        <v>110</v>
      </c>
      <c r="D44" s="17" t="s">
        <v>111</v>
      </c>
    </row>
    <row r="45" spans="1:4" ht="15" customHeight="1" x14ac:dyDescent="0.25">
      <c r="A45" s="16" t="s">
        <v>112</v>
      </c>
      <c r="B45" s="17" t="s">
        <v>109</v>
      </c>
      <c r="C45" s="17" t="s">
        <v>110</v>
      </c>
      <c r="D45" s="17" t="s">
        <v>113</v>
      </c>
    </row>
    <row r="46" spans="1:4" ht="15" customHeight="1" x14ac:dyDescent="0.25">
      <c r="A46" s="16" t="s">
        <v>114</v>
      </c>
      <c r="B46" s="17" t="s">
        <v>109</v>
      </c>
      <c r="C46" s="17" t="s">
        <v>110</v>
      </c>
      <c r="D46" s="17" t="s">
        <v>115</v>
      </c>
    </row>
    <row r="47" spans="1:4" ht="15" customHeight="1" x14ac:dyDescent="0.25">
      <c r="A47" s="18" t="s">
        <v>116</v>
      </c>
      <c r="B47" s="19" t="s">
        <v>117</v>
      </c>
      <c r="C47" s="19" t="s">
        <v>118</v>
      </c>
      <c r="D47" s="19" t="s">
        <v>119</v>
      </c>
    </row>
    <row r="48" spans="1:4" ht="15" customHeight="1" x14ac:dyDescent="0.25">
      <c r="A48" s="18" t="s">
        <v>120</v>
      </c>
      <c r="B48" s="19" t="s">
        <v>117</v>
      </c>
      <c r="C48" s="19" t="s">
        <v>118</v>
      </c>
      <c r="D48" s="19" t="s">
        <v>119</v>
      </c>
    </row>
    <row r="50" spans="1:4" ht="15" customHeight="1" x14ac:dyDescent="0.25">
      <c r="A50" s="3" t="s">
        <v>121</v>
      </c>
      <c r="B50" s="4"/>
      <c r="C50" s="4"/>
      <c r="D50" s="4"/>
    </row>
    <row r="51" spans="1:4" ht="15" customHeight="1" x14ac:dyDescent="0.25">
      <c r="A51" s="5" t="s">
        <v>122</v>
      </c>
      <c r="B51" s="5" t="s">
        <v>123</v>
      </c>
      <c r="C51" s="5"/>
      <c r="D51" s="5" t="s">
        <v>53</v>
      </c>
    </row>
    <row r="52" spans="1:4" ht="15" customHeight="1" x14ac:dyDescent="0.25">
      <c r="A52" s="6" t="s">
        <v>124</v>
      </c>
      <c r="B52" s="12">
        <v>7.0000000000000007E-2</v>
      </c>
      <c r="C52" s="14"/>
      <c r="D52" s="8" t="s">
        <v>125</v>
      </c>
    </row>
    <row r="53" spans="1:4" ht="15" customHeight="1" x14ac:dyDescent="0.25">
      <c r="A53" s="6" t="s">
        <v>126</v>
      </c>
      <c r="B53" s="12">
        <v>0.06</v>
      </c>
      <c r="C53" s="14"/>
      <c r="D53" s="8" t="s">
        <v>125</v>
      </c>
    </row>
    <row r="54" spans="1:4" ht="15" customHeight="1" x14ac:dyDescent="0.25">
      <c r="A54" s="6" t="s">
        <v>127</v>
      </c>
      <c r="B54" s="7">
        <v>21</v>
      </c>
      <c r="C54" s="14"/>
      <c r="D54" s="8" t="s">
        <v>128</v>
      </c>
    </row>
    <row r="55" spans="1:4" ht="15" customHeight="1" x14ac:dyDescent="0.25">
      <c r="A55" s="6" t="s">
        <v>129</v>
      </c>
      <c r="B55" s="7">
        <v>4</v>
      </c>
      <c r="C55" s="14"/>
      <c r="D55" s="8" t="s">
        <v>130</v>
      </c>
    </row>
    <row r="56" spans="1:4" ht="15" customHeight="1" x14ac:dyDescent="0.25">
      <c r="A56" s="6" t="s">
        <v>131</v>
      </c>
      <c r="B56" s="9">
        <v>120000</v>
      </c>
      <c r="C56" s="14"/>
      <c r="D56" s="8" t="s">
        <v>132</v>
      </c>
    </row>
    <row r="57" spans="1:4" ht="15" customHeight="1" x14ac:dyDescent="0.25">
      <c r="A57" s="6" t="s">
        <v>133</v>
      </c>
      <c r="B57" s="10">
        <f>B56*((1+0.04)^B55)</f>
        <v>140383.02720000001</v>
      </c>
      <c r="C57" s="14"/>
      <c r="D57" s="8" t="s">
        <v>134</v>
      </c>
    </row>
    <row r="58" spans="1:4" ht="15" customHeight="1" x14ac:dyDescent="0.25">
      <c r="A58" s="6" t="s">
        <v>135</v>
      </c>
      <c r="B58" s="14">
        <f>B54*12</f>
        <v>252</v>
      </c>
      <c r="C58" s="14"/>
      <c r="D58" s="8" t="s">
        <v>71</v>
      </c>
    </row>
    <row r="59" spans="1:4" ht="15" customHeight="1" x14ac:dyDescent="0.25">
      <c r="A59" s="6" t="s">
        <v>136</v>
      </c>
      <c r="B59" s="14">
        <f>B55*12</f>
        <v>48</v>
      </c>
      <c r="C59" s="14"/>
      <c r="D59" s="8" t="s">
        <v>71</v>
      </c>
    </row>
    <row r="60" spans="1:4" ht="15" customHeight="1" x14ac:dyDescent="0.25">
      <c r="A60" s="6" t="s">
        <v>137</v>
      </c>
      <c r="B60" s="7" t="s">
        <v>138</v>
      </c>
      <c r="C60" s="14"/>
      <c r="D60" s="8" t="s">
        <v>139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A1:E23"/>
  <sheetViews>
    <sheetView zoomScaleNormal="100" workbookViewId="0">
      <selection activeCell="B11" sqref="B11"/>
    </sheetView>
  </sheetViews>
  <sheetFormatPr defaultColWidth="8.7109375" defaultRowHeight="15" x14ac:dyDescent="0.25"/>
  <cols>
    <col min="1" max="1" width="38" customWidth="1"/>
    <col min="2" max="4" width="20" customWidth="1"/>
    <col min="5" max="5" width="32" customWidth="1"/>
  </cols>
  <sheetData>
    <row r="1" spans="1:5" ht="17.25" customHeight="1" x14ac:dyDescent="0.25">
      <c r="A1" s="1" t="s">
        <v>140</v>
      </c>
    </row>
    <row r="2" spans="1:5" ht="15" customHeight="1" x14ac:dyDescent="0.25">
      <c r="A2" s="53" t="s">
        <v>141</v>
      </c>
    </row>
    <row r="3" spans="1:5" ht="15" customHeight="1" x14ac:dyDescent="0.25">
      <c r="A3" s="2" t="s">
        <v>373</v>
      </c>
    </row>
    <row r="5" spans="1:5" ht="15" customHeight="1" x14ac:dyDescent="0.25">
      <c r="A5" s="20" t="s">
        <v>101</v>
      </c>
      <c r="B5" s="21">
        <f>'1. Household Inputs'!B40</f>
        <v>1060.6666666666661</v>
      </c>
    </row>
    <row r="7" spans="1:5" ht="15" customHeight="1" x14ac:dyDescent="0.25">
      <c r="A7" s="22" t="s">
        <v>142</v>
      </c>
      <c r="B7" s="23"/>
      <c r="C7" s="23"/>
      <c r="D7" s="23"/>
      <c r="E7" s="23"/>
    </row>
    <row r="8" spans="1:5" ht="15" customHeight="1" x14ac:dyDescent="0.25">
      <c r="A8" s="5" t="s">
        <v>2</v>
      </c>
      <c r="B8" s="5" t="s">
        <v>3</v>
      </c>
      <c r="C8" s="5" t="s">
        <v>143</v>
      </c>
      <c r="D8" s="5" t="s">
        <v>144</v>
      </c>
      <c r="E8" s="5" t="s">
        <v>145</v>
      </c>
    </row>
    <row r="9" spans="1:5" ht="15" customHeight="1" x14ac:dyDescent="0.25">
      <c r="A9" s="6" t="s">
        <v>146</v>
      </c>
      <c r="B9" s="9">
        <v>600</v>
      </c>
      <c r="C9" s="24">
        <f>B9/B5</f>
        <v>0.5656819610307986</v>
      </c>
      <c r="D9" s="14" t="s">
        <v>147</v>
      </c>
      <c r="E9" s="8" t="s">
        <v>148</v>
      </c>
    </row>
    <row r="10" spans="1:5" ht="15" customHeight="1" x14ac:dyDescent="0.25">
      <c r="A10" s="6" t="s">
        <v>149</v>
      </c>
      <c r="B10" s="9">
        <v>50</v>
      </c>
      <c r="C10" s="24">
        <f>B10/B5</f>
        <v>4.7140163419233216E-2</v>
      </c>
      <c r="D10" s="14" t="s">
        <v>147</v>
      </c>
      <c r="E10" s="8" t="s">
        <v>150</v>
      </c>
    </row>
    <row r="11" spans="1:5" ht="15" customHeight="1" x14ac:dyDescent="0.25">
      <c r="A11" s="6" t="s">
        <v>151</v>
      </c>
      <c r="B11" s="9">
        <v>300</v>
      </c>
      <c r="C11" s="24">
        <f>B11/B5</f>
        <v>0.2828409805153993</v>
      </c>
      <c r="D11" s="14" t="s">
        <v>152</v>
      </c>
      <c r="E11" s="8" t="s">
        <v>153</v>
      </c>
    </row>
    <row r="12" spans="1:5" ht="15" customHeight="1" x14ac:dyDescent="0.25">
      <c r="A12" s="6" t="s">
        <v>154</v>
      </c>
      <c r="B12" s="10">
        <f>B5-B9-B10-B11</f>
        <v>110.66666666666606</v>
      </c>
      <c r="C12" s="24">
        <f>B12/B5</f>
        <v>0.10433689503456894</v>
      </c>
      <c r="D12" s="14" t="s">
        <v>147</v>
      </c>
      <c r="E12" s="8" t="s">
        <v>155</v>
      </c>
    </row>
    <row r="13" spans="1:5" ht="15" customHeight="1" x14ac:dyDescent="0.25">
      <c r="A13" s="25" t="s">
        <v>156</v>
      </c>
      <c r="B13" s="26">
        <f>SUM(B9:B12)</f>
        <v>1060.6666666666661</v>
      </c>
      <c r="C13" s="27">
        <f>B13/B5</f>
        <v>1</v>
      </c>
    </row>
    <row r="14" spans="1:5" ht="15" customHeight="1" x14ac:dyDescent="0.25">
      <c r="A14" s="65" t="s">
        <v>157</v>
      </c>
      <c r="B14" s="66">
        <f>B5-B13</f>
        <v>0</v>
      </c>
    </row>
    <row r="16" spans="1:5" ht="15" customHeight="1" x14ac:dyDescent="0.25">
      <c r="A16" s="29" t="s">
        <v>158</v>
      </c>
      <c r="B16" s="30"/>
      <c r="C16" s="30"/>
      <c r="D16" s="30"/>
      <c r="E16" s="30"/>
    </row>
    <row r="17" spans="1:5" ht="15" customHeight="1" x14ac:dyDescent="0.25">
      <c r="A17" s="5" t="s">
        <v>2</v>
      </c>
      <c r="B17" s="5" t="s">
        <v>3</v>
      </c>
      <c r="C17" s="5" t="s">
        <v>143</v>
      </c>
      <c r="D17" s="5" t="s">
        <v>144</v>
      </c>
      <c r="E17" s="5" t="s">
        <v>145</v>
      </c>
    </row>
    <row r="18" spans="1:5" ht="15" customHeight="1" x14ac:dyDescent="0.25">
      <c r="A18" s="6" t="s">
        <v>146</v>
      </c>
      <c r="B18" s="9">
        <v>100</v>
      </c>
      <c r="C18" s="24">
        <f>B18/B5</f>
        <v>9.4280326838466433E-2</v>
      </c>
      <c r="D18" s="14" t="s">
        <v>147</v>
      </c>
      <c r="E18" s="8" t="s">
        <v>159</v>
      </c>
    </row>
    <row r="19" spans="1:5" ht="15" customHeight="1" x14ac:dyDescent="0.25">
      <c r="A19" s="6" t="s">
        <v>149</v>
      </c>
      <c r="B19" s="9">
        <v>100</v>
      </c>
      <c r="C19" s="24">
        <f>B19/B5</f>
        <v>9.4280326838466433E-2</v>
      </c>
      <c r="D19" s="14" t="s">
        <v>147</v>
      </c>
      <c r="E19" s="8" t="s">
        <v>160</v>
      </c>
    </row>
    <row r="20" spans="1:5" ht="15" customHeight="1" x14ac:dyDescent="0.25">
      <c r="A20" s="6" t="s">
        <v>151</v>
      </c>
      <c r="B20" s="9">
        <v>300</v>
      </c>
      <c r="C20" s="24">
        <f>B20/B5</f>
        <v>0.2828409805153993</v>
      </c>
      <c r="D20" s="14" t="s">
        <v>152</v>
      </c>
      <c r="E20" s="8" t="s">
        <v>153</v>
      </c>
    </row>
    <row r="21" spans="1:5" ht="15" customHeight="1" x14ac:dyDescent="0.25">
      <c r="A21" s="6" t="s">
        <v>154</v>
      </c>
      <c r="B21" s="10">
        <f>B5-B18-B19-B20</f>
        <v>560.66666666666606</v>
      </c>
      <c r="C21" s="24">
        <f>B21/B5</f>
        <v>0.52859836580766784</v>
      </c>
      <c r="D21" s="14" t="s">
        <v>147</v>
      </c>
      <c r="E21" s="8" t="s">
        <v>161</v>
      </c>
    </row>
    <row r="22" spans="1:5" ht="15" customHeight="1" x14ac:dyDescent="0.25">
      <c r="A22" s="25" t="s">
        <v>162</v>
      </c>
      <c r="B22" s="26">
        <f>SUM(B18:B21)</f>
        <v>1060.6666666666661</v>
      </c>
      <c r="C22" s="27">
        <f>B22/B5</f>
        <v>1</v>
      </c>
    </row>
    <row r="23" spans="1:5" ht="15" customHeight="1" x14ac:dyDescent="0.25">
      <c r="A23" s="65" t="s">
        <v>157</v>
      </c>
      <c r="B23" s="66">
        <f>B5-B22</f>
        <v>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8F00"/>
  </sheetPr>
  <dimension ref="A1:D66"/>
  <sheetViews>
    <sheetView topLeftCell="A14" zoomScaleNormal="100" workbookViewId="0">
      <selection activeCell="E26" sqref="E26"/>
    </sheetView>
  </sheetViews>
  <sheetFormatPr defaultColWidth="8.7109375" defaultRowHeight="15" x14ac:dyDescent="0.25"/>
  <cols>
    <col min="1" max="1" width="48" customWidth="1"/>
    <col min="2" max="3" width="22" customWidth="1"/>
    <col min="4" max="4" width="40" customWidth="1"/>
  </cols>
  <sheetData>
    <row r="1" spans="1:4" ht="17.25" customHeight="1" x14ac:dyDescent="0.25">
      <c r="A1" s="1" t="s">
        <v>163</v>
      </c>
    </row>
    <row r="2" spans="1:4" ht="29.45" customHeight="1" x14ac:dyDescent="0.25">
      <c r="A2" s="85" t="s">
        <v>164</v>
      </c>
      <c r="B2" s="85"/>
      <c r="C2" s="85"/>
      <c r="D2" s="85"/>
    </row>
    <row r="3" spans="1:4" ht="28.15" customHeight="1" x14ac:dyDescent="0.25">
      <c r="A3" s="85" t="s">
        <v>165</v>
      </c>
      <c r="B3" s="85"/>
      <c r="C3" s="85"/>
      <c r="D3" s="85"/>
    </row>
    <row r="5" spans="1:4" ht="15" customHeight="1" x14ac:dyDescent="0.25">
      <c r="A5" s="3" t="s">
        <v>166</v>
      </c>
      <c r="B5" s="4"/>
      <c r="C5" s="4"/>
      <c r="D5" s="4"/>
    </row>
    <row r="6" spans="1:4" ht="15" customHeight="1" x14ac:dyDescent="0.25">
      <c r="A6" s="5" t="s">
        <v>167</v>
      </c>
      <c r="B6" s="5" t="s">
        <v>123</v>
      </c>
      <c r="C6" s="5"/>
      <c r="D6" s="5"/>
    </row>
    <row r="7" spans="1:4" ht="15" customHeight="1" x14ac:dyDescent="0.25">
      <c r="A7" s="28" t="s">
        <v>168</v>
      </c>
      <c r="B7" s="31">
        <f>(1+'1. Household Inputs'!B52)^(1/12)-1</f>
        <v>5.6541453874052738E-3</v>
      </c>
    </row>
    <row r="8" spans="1:4" ht="15" customHeight="1" x14ac:dyDescent="0.25">
      <c r="A8" s="28" t="s">
        <v>169</v>
      </c>
      <c r="B8" s="31">
        <f>(1+'1. Household Inputs'!B53)^(1/12)-1</f>
        <v>4.8675505653430484E-3</v>
      </c>
    </row>
    <row r="9" spans="1:4" ht="15" customHeight="1" x14ac:dyDescent="0.25">
      <c r="A9" s="28" t="s">
        <v>170</v>
      </c>
      <c r="B9" s="32">
        <f>'1. Household Inputs'!B58</f>
        <v>252</v>
      </c>
    </row>
    <row r="10" spans="1:4" ht="15" customHeight="1" x14ac:dyDescent="0.25">
      <c r="A10" s="28" t="s">
        <v>171</v>
      </c>
      <c r="B10" s="32">
        <f>'1. Household Inputs'!B59</f>
        <v>48</v>
      </c>
    </row>
    <row r="11" spans="1:4" ht="15" customHeight="1" x14ac:dyDescent="0.25">
      <c r="A11" s="28" t="s">
        <v>172</v>
      </c>
      <c r="B11" s="33">
        <f>'1. Household Inputs'!B20+'1. Household Inputs'!B21</f>
        <v>277000</v>
      </c>
    </row>
    <row r="12" spans="1:4" ht="15" customHeight="1" x14ac:dyDescent="0.25">
      <c r="A12" s="28" t="s">
        <v>173</v>
      </c>
      <c r="B12" s="33">
        <f>'1. Household Inputs'!C20+'1. Household Inputs'!C21</f>
        <v>1542</v>
      </c>
    </row>
    <row r="13" spans="1:4" ht="15" customHeight="1" x14ac:dyDescent="0.25">
      <c r="A13" s="28" t="s">
        <v>174</v>
      </c>
      <c r="B13" s="33">
        <f>'1. Household Inputs'!B23</f>
        <v>22000</v>
      </c>
    </row>
    <row r="14" spans="1:4" ht="15" customHeight="1" x14ac:dyDescent="0.25">
      <c r="A14" s="28" t="s">
        <v>175</v>
      </c>
      <c r="B14" s="33">
        <f>'1. Household Inputs'!C23</f>
        <v>200</v>
      </c>
    </row>
    <row r="15" spans="1:4" ht="15" customHeight="1" x14ac:dyDescent="0.25">
      <c r="A15" s="28" t="s">
        <v>176</v>
      </c>
      <c r="B15" s="33">
        <f>'1. Household Inputs'!B57</f>
        <v>140383.02720000001</v>
      </c>
    </row>
    <row r="16" spans="1:4" ht="15" customHeight="1" x14ac:dyDescent="0.25">
      <c r="A16" s="28" t="s">
        <v>177</v>
      </c>
      <c r="B16" s="33">
        <f>'1. Household Inputs'!B28</f>
        <v>18500</v>
      </c>
    </row>
    <row r="17" spans="1:4" ht="15" customHeight="1" x14ac:dyDescent="0.25">
      <c r="A17" s="28" t="s">
        <v>178</v>
      </c>
      <c r="B17" s="34">
        <f>'1. Household Inputs'!C28/12</f>
        <v>4.9166666666666664E-3</v>
      </c>
    </row>
    <row r="18" spans="1:4" ht="15" customHeight="1" x14ac:dyDescent="0.25">
      <c r="A18" s="28" t="s">
        <v>179</v>
      </c>
      <c r="B18" s="33">
        <f>'1. Household Inputs'!D28</f>
        <v>373</v>
      </c>
    </row>
    <row r="19" spans="1:4" ht="15" customHeight="1" x14ac:dyDescent="0.25">
      <c r="A19" s="28" t="s">
        <v>180</v>
      </c>
      <c r="B19" s="33">
        <f>'1. Household Inputs'!B29</f>
        <v>31000</v>
      </c>
    </row>
    <row r="20" spans="1:4" ht="15" customHeight="1" x14ac:dyDescent="0.25">
      <c r="A20" s="28" t="s">
        <v>181</v>
      </c>
      <c r="B20" s="34">
        <f>'1. Household Inputs'!C29/12</f>
        <v>3.7499999999999999E-3</v>
      </c>
    </row>
    <row r="21" spans="1:4" ht="15" customHeight="1" x14ac:dyDescent="0.25">
      <c r="A21" s="28" t="s">
        <v>182</v>
      </c>
      <c r="B21" s="33">
        <f>'1. Household Inputs'!D29</f>
        <v>290</v>
      </c>
    </row>
    <row r="23" spans="1:4" ht="15" customHeight="1" x14ac:dyDescent="0.25">
      <c r="A23" s="22" t="s">
        <v>183</v>
      </c>
      <c r="B23" s="23"/>
      <c r="C23" s="23"/>
      <c r="D23" s="23"/>
    </row>
    <row r="24" spans="1:4" ht="40.9" customHeight="1" x14ac:dyDescent="0.25">
      <c r="A24" s="86" t="s">
        <v>385</v>
      </c>
      <c r="B24" s="86"/>
      <c r="C24" s="86"/>
      <c r="D24" s="86"/>
    </row>
    <row r="26" spans="1:4" ht="15" customHeight="1" x14ac:dyDescent="0.25">
      <c r="A26" s="5" t="s">
        <v>184</v>
      </c>
      <c r="B26" s="5" t="s">
        <v>46</v>
      </c>
      <c r="C26" s="5" t="s">
        <v>47</v>
      </c>
      <c r="D26" s="5" t="s">
        <v>107</v>
      </c>
    </row>
    <row r="27" spans="1:4" ht="15" customHeight="1" x14ac:dyDescent="0.25">
      <c r="A27" s="6" t="s">
        <v>185</v>
      </c>
      <c r="B27" s="13">
        <f>'2. Plan Comparison'!B9</f>
        <v>600</v>
      </c>
      <c r="C27" s="13">
        <f>'2. Plan Comparison'!B18</f>
        <v>100</v>
      </c>
      <c r="D27" s="8" t="s">
        <v>186</v>
      </c>
    </row>
    <row r="28" spans="1:4" ht="15" customHeight="1" x14ac:dyDescent="0.25">
      <c r="A28" s="6" t="s">
        <v>187</v>
      </c>
      <c r="B28" s="10">
        <f>B18+B27</f>
        <v>973</v>
      </c>
      <c r="C28" s="10">
        <f>B18+C27</f>
        <v>473</v>
      </c>
      <c r="D28" s="8" t="s">
        <v>188</v>
      </c>
    </row>
    <row r="29" spans="1:4" ht="15" customHeight="1" x14ac:dyDescent="0.25">
      <c r="A29" s="6" t="s">
        <v>18</v>
      </c>
      <c r="B29" s="35">
        <f>NPER(B17,-(B28),B16)</f>
        <v>20.010683705238741</v>
      </c>
      <c r="C29" s="35">
        <f>NPER(B17,-(C28),B16)</f>
        <v>43.543789287215851</v>
      </c>
      <c r="D29" s="8" t="s">
        <v>189</v>
      </c>
    </row>
    <row r="30" spans="1:4" ht="15" customHeight="1" x14ac:dyDescent="0.25">
      <c r="A30" s="6" t="s">
        <v>190</v>
      </c>
      <c r="B30" s="10">
        <f>B28*B29-B16</f>
        <v>970.39524519729457</v>
      </c>
      <c r="C30" s="10">
        <f>C28*C29-B16</f>
        <v>2096.2123328530979</v>
      </c>
      <c r="D30" s="8" t="s">
        <v>191</v>
      </c>
    </row>
    <row r="31" spans="1:4" ht="15" customHeight="1" x14ac:dyDescent="0.25">
      <c r="A31" s="6" t="s">
        <v>192</v>
      </c>
      <c r="B31" s="13">
        <f>'2. Plan Comparison'!B10</f>
        <v>50</v>
      </c>
      <c r="C31" s="13">
        <f>'2. Plan Comparison'!B19</f>
        <v>100</v>
      </c>
      <c r="D31" s="8" t="s">
        <v>186</v>
      </c>
    </row>
    <row r="32" spans="1:4" ht="15" customHeight="1" x14ac:dyDescent="0.25">
      <c r="A32" s="6" t="s">
        <v>193</v>
      </c>
      <c r="B32" s="10">
        <f>B21+B31</f>
        <v>340</v>
      </c>
      <c r="C32" s="10">
        <f>B21+C31</f>
        <v>390</v>
      </c>
      <c r="D32" s="8" t="s">
        <v>188</v>
      </c>
    </row>
    <row r="33" spans="1:4" ht="15" customHeight="1" x14ac:dyDescent="0.25">
      <c r="A33" s="6" t="s">
        <v>20</v>
      </c>
      <c r="B33" s="35">
        <f>NPER(B20,-(B32),B19)</f>
        <v>111.78674707446494</v>
      </c>
      <c r="C33" s="35">
        <f>NPER(B20,-(C32),B19)</f>
        <v>94.558577463770106</v>
      </c>
      <c r="D33" s="8" t="s">
        <v>189</v>
      </c>
    </row>
    <row r="34" spans="1:4" ht="15" customHeight="1" x14ac:dyDescent="0.25">
      <c r="A34" s="6" t="s">
        <v>194</v>
      </c>
      <c r="B34" s="10">
        <f>B32*B33-B19</f>
        <v>7007.4940053180835</v>
      </c>
      <c r="C34" s="10">
        <f>C32*C33-B19</f>
        <v>5877.8452108703423</v>
      </c>
      <c r="D34" s="8" t="s">
        <v>191</v>
      </c>
    </row>
    <row r="35" spans="1:4" ht="15" customHeight="1" x14ac:dyDescent="0.25">
      <c r="A35" s="36" t="s">
        <v>195</v>
      </c>
      <c r="B35" s="15">
        <f>B30+B34</f>
        <v>7977.8892505153781</v>
      </c>
      <c r="C35" s="15">
        <f>C30+C34</f>
        <v>7974.0575437234402</v>
      </c>
      <c r="D35" s="8" t="s">
        <v>196</v>
      </c>
    </row>
    <row r="37" spans="1:4" ht="15" customHeight="1" x14ac:dyDescent="0.25">
      <c r="A37" s="22" t="s">
        <v>197</v>
      </c>
      <c r="B37" s="23"/>
      <c r="C37" s="23"/>
      <c r="D37" s="23"/>
    </row>
    <row r="38" spans="1:4" ht="15" customHeight="1" x14ac:dyDescent="0.25">
      <c r="A38" s="2" t="s">
        <v>198</v>
      </c>
    </row>
    <row r="39" spans="1:4" ht="15" customHeight="1" x14ac:dyDescent="0.25">
      <c r="A39" s="2" t="s">
        <v>199</v>
      </c>
    </row>
    <row r="40" spans="1:4" ht="15" customHeight="1" x14ac:dyDescent="0.25">
      <c r="A40" s="2" t="s">
        <v>200</v>
      </c>
    </row>
    <row r="42" spans="1:4" ht="15" customHeight="1" x14ac:dyDescent="0.25">
      <c r="A42" s="5" t="s">
        <v>184</v>
      </c>
      <c r="B42" s="5" t="s">
        <v>46</v>
      </c>
      <c r="C42" s="5" t="s">
        <v>47</v>
      </c>
      <c r="D42" s="5" t="s">
        <v>107</v>
      </c>
    </row>
    <row r="43" spans="1:4" ht="15" customHeight="1" x14ac:dyDescent="0.25">
      <c r="A43" s="6" t="s">
        <v>201</v>
      </c>
      <c r="B43" s="13">
        <f>'2. Plan Comparison'!B12</f>
        <v>110.66666666666606</v>
      </c>
      <c r="C43" s="13">
        <f>'2. Plan Comparison'!B21</f>
        <v>560.66666666666606</v>
      </c>
      <c r="D43" s="8" t="s">
        <v>186</v>
      </c>
    </row>
    <row r="44" spans="1:4" ht="15" customHeight="1" x14ac:dyDescent="0.25">
      <c r="A44" s="6" t="s">
        <v>202</v>
      </c>
      <c r="B44" s="10">
        <f>B12+B43</f>
        <v>1652.6666666666661</v>
      </c>
      <c r="C44" s="10">
        <f>B12+C43</f>
        <v>2102.6666666666661</v>
      </c>
      <c r="D44" s="8" t="s">
        <v>203</v>
      </c>
    </row>
    <row r="45" spans="1:4" ht="15" customHeight="1" x14ac:dyDescent="0.25">
      <c r="A45" s="6" t="s">
        <v>204</v>
      </c>
      <c r="B45" s="10">
        <f>B11*(1+B7)^B9</f>
        <v>1146935.7778362769</v>
      </c>
      <c r="C45" s="10">
        <f>B11*(1+B7)^B9</f>
        <v>1146935.7778362769</v>
      </c>
      <c r="D45" s="8" t="s">
        <v>205</v>
      </c>
    </row>
    <row r="46" spans="1:4" ht="15" customHeight="1" x14ac:dyDescent="0.25">
      <c r="A46" s="6" t="s">
        <v>206</v>
      </c>
      <c r="B46" s="10">
        <f>B44*(((1+B7)^B9-1)/B7)</f>
        <v>917964.14769957482</v>
      </c>
      <c r="C46" s="10">
        <f>C44*(((1+B7)^B9-1)/B7)</f>
        <v>1167914.0467303183</v>
      </c>
      <c r="D46" s="8" t="s">
        <v>207</v>
      </c>
    </row>
    <row r="47" spans="1:4" ht="15" customHeight="1" x14ac:dyDescent="0.25">
      <c r="A47" s="2" t="s">
        <v>208</v>
      </c>
    </row>
    <row r="48" spans="1:4" ht="15" customHeight="1" x14ac:dyDescent="0.25">
      <c r="A48" s="6" t="s">
        <v>209</v>
      </c>
      <c r="B48" s="10">
        <f>B28</f>
        <v>973</v>
      </c>
      <c r="C48" s="10">
        <f>C28</f>
        <v>473</v>
      </c>
      <c r="D48" s="8" t="s">
        <v>210</v>
      </c>
    </row>
    <row r="49" spans="1:4" ht="15" customHeight="1" x14ac:dyDescent="0.25">
      <c r="A49" s="6" t="s">
        <v>211</v>
      </c>
      <c r="B49" s="35">
        <f>B9-B29</f>
        <v>231.98931629476127</v>
      </c>
      <c r="C49" s="35">
        <f>B9-C29</f>
        <v>208.45621071278416</v>
      </c>
      <c r="D49" s="8" t="s">
        <v>212</v>
      </c>
    </row>
    <row r="50" spans="1:4" ht="15" customHeight="1" x14ac:dyDescent="0.25">
      <c r="A50" s="6" t="s">
        <v>213</v>
      </c>
      <c r="B50" s="10">
        <f>B48*(((1+B7)^B49-1)/B7)</f>
        <v>464425.10903460364</v>
      </c>
      <c r="C50" s="10">
        <f>C48*(((1+B7)^C49-1)/B7)</f>
        <v>187320.09829928834</v>
      </c>
      <c r="D50" s="8" t="s">
        <v>214</v>
      </c>
    </row>
    <row r="51" spans="1:4" ht="15" customHeight="1" x14ac:dyDescent="0.25">
      <c r="A51" s="6" t="s">
        <v>215</v>
      </c>
      <c r="B51" s="10">
        <f>B32</f>
        <v>340</v>
      </c>
      <c r="C51" s="10">
        <f>C32</f>
        <v>390</v>
      </c>
      <c r="D51" s="8" t="s">
        <v>210</v>
      </c>
    </row>
    <row r="52" spans="1:4" ht="15" customHeight="1" x14ac:dyDescent="0.25">
      <c r="A52" s="6" t="s">
        <v>216</v>
      </c>
      <c r="B52" s="35">
        <f>B9-B33</f>
        <v>140.21325292553507</v>
      </c>
      <c r="C52" s="35">
        <f>B9-C33</f>
        <v>157.44142253622988</v>
      </c>
      <c r="D52" s="8" t="s">
        <v>217</v>
      </c>
    </row>
    <row r="53" spans="1:4" ht="15" customHeight="1" x14ac:dyDescent="0.25">
      <c r="A53" s="6" t="s">
        <v>218</v>
      </c>
      <c r="B53" s="10">
        <f>B51*(((1+B7)^B52-1)/B7)</f>
        <v>72437.009195466526</v>
      </c>
      <c r="C53" s="10">
        <f>C51*(((1+B7)^C52-1)/B7)</f>
        <v>98601.780604529748</v>
      </c>
      <c r="D53" s="8" t="s">
        <v>214</v>
      </c>
    </row>
    <row r="54" spans="1:4" ht="15" customHeight="1" x14ac:dyDescent="0.25">
      <c r="A54" s="2"/>
    </row>
    <row r="55" spans="1:4" ht="15" customHeight="1" x14ac:dyDescent="0.25">
      <c r="A55" s="36" t="s">
        <v>219</v>
      </c>
      <c r="B55" s="15">
        <f>B45+B46+B50+B53</f>
        <v>2601762.0437659216</v>
      </c>
      <c r="C55" s="15">
        <f>C45+C46+C50+C53</f>
        <v>2600771.7034704131</v>
      </c>
      <c r="D55" s="8" t="s">
        <v>220</v>
      </c>
    </row>
    <row r="57" spans="1:4" ht="15" customHeight="1" x14ac:dyDescent="0.25">
      <c r="A57" s="22" t="s">
        <v>221</v>
      </c>
      <c r="B57" s="23"/>
      <c r="C57" s="23"/>
      <c r="D57" s="23"/>
    </row>
    <row r="58" spans="1:4" ht="28.9" customHeight="1" x14ac:dyDescent="0.25">
      <c r="A58" s="85" t="s">
        <v>222</v>
      </c>
      <c r="B58" s="85"/>
      <c r="C58" s="85"/>
      <c r="D58" s="85"/>
    </row>
    <row r="60" spans="1:4" ht="15" customHeight="1" x14ac:dyDescent="0.25">
      <c r="A60" s="5" t="s">
        <v>184</v>
      </c>
      <c r="B60" s="5" t="s">
        <v>46</v>
      </c>
      <c r="C60" s="5" t="s">
        <v>47</v>
      </c>
      <c r="D60" s="5" t="s">
        <v>107</v>
      </c>
    </row>
    <row r="61" spans="1:4" ht="15" customHeight="1" x14ac:dyDescent="0.25">
      <c r="A61" s="6" t="s">
        <v>223</v>
      </c>
      <c r="B61" s="13">
        <f>'2. Plan Comparison'!B11</f>
        <v>300</v>
      </c>
      <c r="C61" s="13">
        <f>'2. Plan Comparison'!B20</f>
        <v>300</v>
      </c>
      <c r="D61" s="8" t="s">
        <v>186</v>
      </c>
    </row>
    <row r="62" spans="1:4" ht="15" customHeight="1" x14ac:dyDescent="0.25">
      <c r="A62" s="6" t="s">
        <v>224</v>
      </c>
      <c r="B62" s="10">
        <f>B14+B61</f>
        <v>500</v>
      </c>
      <c r="C62" s="10">
        <f>B14+C61</f>
        <v>500</v>
      </c>
      <c r="D62" s="8" t="s">
        <v>225</v>
      </c>
    </row>
    <row r="63" spans="1:4" ht="15" customHeight="1" x14ac:dyDescent="0.25">
      <c r="A63" s="6" t="s">
        <v>226</v>
      </c>
      <c r="B63" s="10">
        <f>B13*(1+B8)^B10</f>
        <v>27774.493120000076</v>
      </c>
      <c r="C63" s="10">
        <f>B13*(1+B8)^B10</f>
        <v>27774.493120000076</v>
      </c>
      <c r="D63" s="8" t="s">
        <v>227</v>
      </c>
    </row>
    <row r="64" spans="1:4" ht="15" customHeight="1" x14ac:dyDescent="0.25">
      <c r="A64" s="6" t="s">
        <v>228</v>
      </c>
      <c r="B64" s="10">
        <f>B62*(((1+B8)^B10-1)/B8)</f>
        <v>26961.914054764929</v>
      </c>
      <c r="C64" s="10">
        <f>C62*(((1+B8)^B10-1)/B8)</f>
        <v>26961.914054764929</v>
      </c>
      <c r="D64" s="8" t="s">
        <v>229</v>
      </c>
    </row>
    <row r="65" spans="1:4" ht="15" customHeight="1" x14ac:dyDescent="0.25">
      <c r="A65" s="6" t="s">
        <v>230</v>
      </c>
      <c r="B65" s="10">
        <f>B63+B64</f>
        <v>54736.407174765001</v>
      </c>
      <c r="C65" s="10">
        <f>C63+C64</f>
        <v>54736.407174765001</v>
      </c>
      <c r="D65" s="8" t="s">
        <v>231</v>
      </c>
    </row>
    <row r="66" spans="1:4" ht="15" customHeight="1" x14ac:dyDescent="0.25">
      <c r="A66" s="36" t="s">
        <v>232</v>
      </c>
      <c r="B66" s="37">
        <f>B65/B15</f>
        <v>0.38990758545748894</v>
      </c>
      <c r="C66" s="37">
        <f>C65/B15</f>
        <v>0.38990758545748894</v>
      </c>
      <c r="D66" s="8" t="s">
        <v>233</v>
      </c>
    </row>
  </sheetData>
  <mergeCells count="4">
    <mergeCell ref="A2:D2"/>
    <mergeCell ref="A3:D3"/>
    <mergeCell ref="A58:D58"/>
    <mergeCell ref="A24:D2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K60"/>
  <sheetViews>
    <sheetView tabSelected="1" topLeftCell="A15" zoomScaleNormal="100" workbookViewId="0">
      <selection activeCell="D62" sqref="D62"/>
    </sheetView>
  </sheetViews>
  <sheetFormatPr defaultColWidth="8.7109375" defaultRowHeight="15" x14ac:dyDescent="0.25"/>
  <cols>
    <col min="1" max="1" width="48" customWidth="1"/>
    <col min="2" max="6" width="20" customWidth="1"/>
    <col min="7" max="8" width="16" customWidth="1"/>
    <col min="9" max="9" width="20.140625" bestFit="1" customWidth="1"/>
    <col min="10" max="10" width="16.28515625" bestFit="1" customWidth="1"/>
    <col min="11" max="11" width="16.7109375" bestFit="1" customWidth="1"/>
  </cols>
  <sheetData>
    <row r="1" spans="1:4" ht="17.25" customHeight="1" x14ac:dyDescent="0.25">
      <c r="A1" s="1" t="s">
        <v>0</v>
      </c>
    </row>
    <row r="2" spans="1:4" ht="28.15" customHeight="1" x14ac:dyDescent="0.25">
      <c r="A2" s="86" t="s">
        <v>374</v>
      </c>
      <c r="B2" s="85"/>
      <c r="C2" s="85"/>
      <c r="D2" s="85"/>
    </row>
    <row r="4" spans="1:4" ht="15" customHeight="1" x14ac:dyDescent="0.25">
      <c r="A4" s="29" t="s">
        <v>1</v>
      </c>
      <c r="B4" s="30"/>
      <c r="C4" s="30"/>
      <c r="D4" s="30"/>
    </row>
    <row r="5" spans="1:4" ht="15" customHeight="1" x14ac:dyDescent="0.25">
      <c r="A5" s="5" t="s">
        <v>2</v>
      </c>
      <c r="B5" s="5" t="s">
        <v>3</v>
      </c>
      <c r="C5" s="5" t="s">
        <v>4</v>
      </c>
      <c r="D5" s="5" t="s">
        <v>5</v>
      </c>
    </row>
    <row r="6" spans="1:4" ht="15" customHeight="1" x14ac:dyDescent="0.25">
      <c r="A6" s="6" t="s">
        <v>6</v>
      </c>
      <c r="B6" s="38">
        <v>712.22501634241303</v>
      </c>
      <c r="C6" s="10">
        <v>0</v>
      </c>
      <c r="D6" s="13">
        <f>'1. Household Inputs'!B40</f>
        <v>1060.6666666666661</v>
      </c>
    </row>
    <row r="7" spans="1:4" ht="15" customHeight="1" x14ac:dyDescent="0.25">
      <c r="A7" s="6" t="s">
        <v>7</v>
      </c>
      <c r="B7" s="38">
        <v>48.441650324061847</v>
      </c>
      <c r="C7" s="10">
        <v>0</v>
      </c>
      <c r="D7" s="13">
        <f>'1. Household Inputs'!B40</f>
        <v>1060.6666666666661</v>
      </c>
    </row>
    <row r="8" spans="1:4" ht="15" customHeight="1" x14ac:dyDescent="0.25">
      <c r="A8" s="6" t="s">
        <v>8</v>
      </c>
      <c r="B8" s="38">
        <v>299.99999999999994</v>
      </c>
      <c r="C8" s="10">
        <v>0</v>
      </c>
      <c r="D8" s="13">
        <f>'1. Household Inputs'!B40</f>
        <v>1060.6666666666661</v>
      </c>
    </row>
    <row r="9" spans="1:4" ht="15" customHeight="1" x14ac:dyDescent="0.25">
      <c r="A9" s="6" t="s">
        <v>9</v>
      </c>
      <c r="B9" s="38">
        <v>0</v>
      </c>
      <c r="C9" s="10">
        <v>0</v>
      </c>
      <c r="D9" s="13">
        <f>'1. Household Inputs'!B40</f>
        <v>1060.6666666666661</v>
      </c>
    </row>
    <row r="10" spans="1:4" ht="15" customHeight="1" x14ac:dyDescent="0.25">
      <c r="A10" s="25" t="s">
        <v>10</v>
      </c>
      <c r="B10" s="26">
        <f>SUM(B6:B9)</f>
        <v>1060.6666666664748</v>
      </c>
    </row>
    <row r="11" spans="1:4" ht="15" customHeight="1" x14ac:dyDescent="0.25">
      <c r="A11" s="25" t="s">
        <v>11</v>
      </c>
      <c r="B11" s="67">
        <f>'1. Household Inputs'!B40-B10</f>
        <v>1.9122126104775816E-10</v>
      </c>
    </row>
    <row r="13" spans="1:4" ht="15" customHeight="1" x14ac:dyDescent="0.25">
      <c r="A13" s="3" t="s">
        <v>12</v>
      </c>
      <c r="B13" s="4"/>
      <c r="C13" s="4"/>
      <c r="D13" s="4"/>
    </row>
    <row r="14" spans="1:4" ht="15" customHeight="1" x14ac:dyDescent="0.25">
      <c r="A14" s="39" t="s">
        <v>13</v>
      </c>
      <c r="B14" s="40">
        <f>'3. Objective Functions'!B7</f>
        <v>5.6541453874052738E-3</v>
      </c>
    </row>
    <row r="15" spans="1:4" ht="15" customHeight="1" x14ac:dyDescent="0.25">
      <c r="A15" s="39" t="s">
        <v>14</v>
      </c>
      <c r="B15" s="40">
        <f>'3. Objective Functions'!B8</f>
        <v>4.8675505653430484E-3</v>
      </c>
    </row>
    <row r="16" spans="1:4" ht="15" customHeight="1" x14ac:dyDescent="0.25">
      <c r="A16" s="39" t="s">
        <v>15</v>
      </c>
      <c r="B16" s="41">
        <f>'3. Objective Functions'!B9</f>
        <v>252</v>
      </c>
    </row>
    <row r="17" spans="1:8" ht="15" customHeight="1" x14ac:dyDescent="0.25">
      <c r="A17" s="39" t="s">
        <v>16</v>
      </c>
      <c r="B17" s="41">
        <f>'3. Objective Functions'!B10</f>
        <v>48</v>
      </c>
    </row>
    <row r="18" spans="1:8" ht="15" customHeight="1" x14ac:dyDescent="0.25">
      <c r="A18" s="39" t="s">
        <v>17</v>
      </c>
      <c r="B18" s="42">
        <f>'3. Objective Functions'!B18+B6</f>
        <v>1085.225016342413</v>
      </c>
    </row>
    <row r="19" spans="1:8" ht="15" customHeight="1" x14ac:dyDescent="0.25">
      <c r="A19" s="39" t="s">
        <v>18</v>
      </c>
      <c r="B19" s="43">
        <f>NPER('3. Objective Functions'!B17,-(B18),'3. Objective Functions'!B16)</f>
        <v>17.847902847690666</v>
      </c>
    </row>
    <row r="20" spans="1:8" ht="15" customHeight="1" x14ac:dyDescent="0.25">
      <c r="A20" s="39" t="s">
        <v>19</v>
      </c>
      <c r="B20" s="42">
        <f>'3. Objective Functions'!B21+B7</f>
        <v>338.44165032406187</v>
      </c>
    </row>
    <row r="21" spans="1:8" ht="15" customHeight="1" x14ac:dyDescent="0.25">
      <c r="A21" s="39" t="s">
        <v>20</v>
      </c>
      <c r="B21" s="43">
        <f>NPER('3. Objective Functions'!B20,-(B20),'3. Objective Functions'!B19)</f>
        <v>112.42664807288502</v>
      </c>
    </row>
    <row r="23" spans="1:8" ht="15" customHeight="1" x14ac:dyDescent="0.25">
      <c r="A23" s="22" t="s">
        <v>21</v>
      </c>
      <c r="B23" s="23"/>
      <c r="C23" s="23"/>
      <c r="D23" s="23"/>
    </row>
    <row r="24" spans="1:8" ht="15" customHeight="1" x14ac:dyDescent="0.25">
      <c r="A24" s="25" t="s">
        <v>22</v>
      </c>
      <c r="B24" s="95">
        <f>'3. Objective Functions'!B11*(1+B14)^B16+('3. Objective Functions'!B12+B9)*(((1+B14)^B16-1)/B14)+B18*(((1+B14)^(B16-B19)-1)/B14)+B20*(((1+B14)^(B16-B21)-1)/B14)</f>
        <v>2601762.0382993254</v>
      </c>
    </row>
    <row r="25" spans="1:8" ht="15" customHeight="1" x14ac:dyDescent="0.25">
      <c r="A25" s="25" t="s">
        <v>23</v>
      </c>
      <c r="B25" s="96">
        <f>('3. Objective Functions'!B13*(1+B15)^B17+('3. Objective Functions'!B14+B8)*(((1+B15)^B17-1)/B15))/'3. Objective Functions'!B15</f>
        <v>0.38990758545748894</v>
      </c>
    </row>
    <row r="26" spans="1:8" ht="15" customHeight="1" x14ac:dyDescent="0.25">
      <c r="A26" s="25" t="s">
        <v>24</v>
      </c>
      <c r="B26" s="95">
        <f>B18*B19-'3. Objective Functions'!B16+B20*B21-'3. Objective Functions'!B19</f>
        <v>7918.8509737526183</v>
      </c>
    </row>
    <row r="27" spans="1:8" ht="15" customHeight="1" x14ac:dyDescent="0.25">
      <c r="A27" s="20"/>
      <c r="B27" s="42"/>
    </row>
    <row r="28" spans="1:8" ht="2.4500000000000002" customHeight="1" x14ac:dyDescent="0.25">
      <c r="G28" s="51"/>
      <c r="H28" s="51"/>
    </row>
    <row r="29" spans="1:8" ht="15" customHeight="1" x14ac:dyDescent="0.25">
      <c r="A29" s="29" t="s">
        <v>25</v>
      </c>
      <c r="B29" s="30"/>
      <c r="C29" s="30"/>
      <c r="D29" s="30"/>
      <c r="F29" s="49"/>
      <c r="G29" s="49"/>
      <c r="H29" s="51"/>
    </row>
    <row r="30" spans="1:8" ht="15" customHeight="1" x14ac:dyDescent="0.25">
      <c r="A30" s="28" t="s">
        <v>26</v>
      </c>
      <c r="B30" s="69">
        <v>0</v>
      </c>
      <c r="C30" s="54" t="s">
        <v>27</v>
      </c>
      <c r="G30" s="49"/>
    </row>
    <row r="31" spans="1:8" ht="15" customHeight="1" x14ac:dyDescent="0.25">
      <c r="A31" s="28" t="s">
        <v>28</v>
      </c>
      <c r="B31" s="70">
        <v>99999</v>
      </c>
      <c r="C31" s="54" t="s">
        <v>29</v>
      </c>
    </row>
    <row r="33" spans="1:11" ht="15" customHeight="1" x14ac:dyDescent="0.25">
      <c r="A33" s="3" t="s">
        <v>30</v>
      </c>
      <c r="B33" s="4"/>
      <c r="C33" s="4"/>
      <c r="D33" s="4"/>
      <c r="E33" s="4"/>
      <c r="F33" s="4"/>
      <c r="G33" s="4"/>
      <c r="H33" s="4"/>
    </row>
    <row r="34" spans="1:11" ht="15" customHeight="1" x14ac:dyDescent="0.25">
      <c r="A34" s="89" t="s">
        <v>31</v>
      </c>
      <c r="B34" s="89"/>
      <c r="C34" s="89"/>
      <c r="D34" s="89"/>
      <c r="E34" s="89"/>
      <c r="F34" s="89"/>
      <c r="G34" s="89"/>
      <c r="H34" s="89"/>
    </row>
    <row r="35" spans="1:11" ht="15.6" customHeight="1" x14ac:dyDescent="0.25">
      <c r="J35" s="87" t="s">
        <v>32</v>
      </c>
      <c r="K35" s="88"/>
    </row>
    <row r="36" spans="1:11" ht="15" customHeight="1" x14ac:dyDescent="0.25">
      <c r="A36" s="5" t="s">
        <v>33</v>
      </c>
      <c r="B36" s="5" t="s">
        <v>34</v>
      </c>
      <c r="C36" s="5" t="s">
        <v>35</v>
      </c>
      <c r="D36" s="5" t="s">
        <v>36</v>
      </c>
      <c r="E36" s="5" t="s">
        <v>37</v>
      </c>
      <c r="F36" s="5" t="s">
        <v>38</v>
      </c>
      <c r="G36" s="5" t="s">
        <v>39</v>
      </c>
      <c r="H36" s="5" t="s">
        <v>40</v>
      </c>
      <c r="I36" s="5" t="s">
        <v>414</v>
      </c>
      <c r="J36" s="5" t="s">
        <v>41</v>
      </c>
      <c r="K36" s="5" t="s">
        <v>42</v>
      </c>
    </row>
    <row r="37" spans="1:11" ht="15" customHeight="1" x14ac:dyDescent="0.25">
      <c r="A37" s="44">
        <v>1</v>
      </c>
      <c r="B37" s="45">
        <v>2771564.1185791688</v>
      </c>
      <c r="C37" s="46">
        <v>0.2746717997965073</v>
      </c>
      <c r="D37" s="45">
        <v>11447.252157728861</v>
      </c>
      <c r="E37" s="45">
        <v>0</v>
      </c>
      <c r="F37" s="45">
        <v>0</v>
      </c>
      <c r="G37" s="45">
        <v>0</v>
      </c>
      <c r="H37" s="45">
        <v>1061</v>
      </c>
      <c r="I37" s="45" t="s">
        <v>415</v>
      </c>
      <c r="J37" s="50">
        <v>0</v>
      </c>
      <c r="K37" s="45">
        <v>99999</v>
      </c>
    </row>
    <row r="38" spans="1:11" ht="15" customHeight="1" x14ac:dyDescent="0.25">
      <c r="A38" s="44">
        <v>2</v>
      </c>
      <c r="B38" s="45">
        <v>2182422.949160039</v>
      </c>
      <c r="C38" s="46">
        <v>0.68171020270346461</v>
      </c>
      <c r="D38" s="45">
        <v>11447.252157728861</v>
      </c>
      <c r="E38" s="45">
        <v>0</v>
      </c>
      <c r="F38" s="45">
        <v>0</v>
      </c>
      <c r="G38" s="45">
        <v>1061</v>
      </c>
      <c r="H38" s="45">
        <v>0</v>
      </c>
      <c r="I38" s="45" t="s">
        <v>416</v>
      </c>
      <c r="J38" s="50">
        <v>0</v>
      </c>
      <c r="K38" s="45">
        <v>99999</v>
      </c>
    </row>
    <row r="39" spans="1:11" ht="15" customHeight="1" x14ac:dyDescent="0.25">
      <c r="A39" s="44">
        <v>3</v>
      </c>
      <c r="B39" s="45">
        <v>2760567.43382699</v>
      </c>
      <c r="C39" s="46">
        <v>0.2746717997965073</v>
      </c>
      <c r="D39" s="45">
        <v>3333.598593042268</v>
      </c>
      <c r="E39" s="45">
        <v>331.52323214201408</v>
      </c>
      <c r="F39" s="45">
        <v>729.14343452465516</v>
      </c>
      <c r="G39" s="45">
        <v>0</v>
      </c>
      <c r="H39" s="45">
        <v>0</v>
      </c>
      <c r="I39" s="45" t="s">
        <v>413</v>
      </c>
      <c r="J39" s="50">
        <v>0</v>
      </c>
      <c r="K39" s="45">
        <v>99999</v>
      </c>
    </row>
    <row r="40" spans="1:11" ht="15" customHeight="1" x14ac:dyDescent="0.25">
      <c r="A40" s="44">
        <v>4</v>
      </c>
      <c r="B40" s="45">
        <v>2617975.312581521</v>
      </c>
      <c r="C40" s="46">
        <v>0.37599999999999989</v>
      </c>
      <c r="D40" s="45">
        <v>5362.0056172791519</v>
      </c>
      <c r="E40" s="45">
        <v>590.07972652800925</v>
      </c>
      <c r="F40" s="45">
        <v>206.79336345859099</v>
      </c>
      <c r="G40" s="45">
        <v>263.79357668006583</v>
      </c>
      <c r="H40" s="45">
        <v>0</v>
      </c>
      <c r="I40" s="45" t="s">
        <v>415</v>
      </c>
      <c r="J40" s="50">
        <v>0.376</v>
      </c>
      <c r="K40" s="45">
        <v>5362.0119842139165</v>
      </c>
    </row>
    <row r="41" spans="1:11" ht="15" customHeight="1" x14ac:dyDescent="0.25">
      <c r="A41" s="44">
        <v>5</v>
      </c>
      <c r="B41" s="45">
        <v>2621145.1657461091</v>
      </c>
      <c r="C41" s="46">
        <v>0.376</v>
      </c>
      <c r="D41" s="45">
        <v>7390</v>
      </c>
      <c r="E41" s="45">
        <v>728.03633062364497</v>
      </c>
      <c r="F41" s="45">
        <v>68.836759362996403</v>
      </c>
      <c r="G41" s="45">
        <v>263.793576680066</v>
      </c>
      <c r="H41" s="45">
        <v>0</v>
      </c>
      <c r="I41" s="45" t="s">
        <v>415</v>
      </c>
      <c r="J41" s="50">
        <v>0.376</v>
      </c>
      <c r="K41" s="45">
        <v>7390.4253753855664</v>
      </c>
    </row>
    <row r="42" spans="1:11" ht="15" customHeight="1" x14ac:dyDescent="0.25">
      <c r="A42" s="44">
        <v>6</v>
      </c>
      <c r="B42" s="45">
        <v>2623894.2267154939</v>
      </c>
      <c r="C42" s="46">
        <v>0.376</v>
      </c>
      <c r="D42" s="45">
        <v>9419</v>
      </c>
      <c r="E42" s="45">
        <v>795.00246679503289</v>
      </c>
      <c r="F42" s="45">
        <v>1.87062319156747</v>
      </c>
      <c r="G42" s="45">
        <v>263.79357668006583</v>
      </c>
      <c r="H42" s="45">
        <v>0</v>
      </c>
      <c r="I42" s="45" t="s">
        <v>415</v>
      </c>
      <c r="J42" s="50">
        <v>0.376</v>
      </c>
      <c r="K42" s="45">
        <v>9418.8387665572154</v>
      </c>
    </row>
    <row r="43" spans="1:11" ht="15" customHeight="1" x14ac:dyDescent="0.25">
      <c r="A43" s="44">
        <v>7</v>
      </c>
      <c r="B43" s="45">
        <v>2469925.3104039058</v>
      </c>
      <c r="C43" s="46">
        <v>0.47799999999999998</v>
      </c>
      <c r="D43" s="45">
        <v>5362</v>
      </c>
      <c r="E43" s="45">
        <v>267.46928639255202</v>
      </c>
      <c r="F43" s="45">
        <v>263.86129156550368</v>
      </c>
      <c r="G43" s="45">
        <v>529.33608870861042</v>
      </c>
      <c r="H43" s="45">
        <v>0</v>
      </c>
      <c r="I43" s="45" t="s">
        <v>415</v>
      </c>
      <c r="J43" s="50">
        <v>0.47799999999999998</v>
      </c>
      <c r="K43" s="45">
        <v>5362.0119842139165</v>
      </c>
    </row>
    <row r="44" spans="1:11" ht="15" customHeight="1" x14ac:dyDescent="0.25">
      <c r="A44" s="44">
        <v>8</v>
      </c>
      <c r="B44" s="45">
        <v>2473396.5582140489</v>
      </c>
      <c r="C44" s="46">
        <v>0.47799999999999998</v>
      </c>
      <c r="D44" s="45">
        <v>7390</v>
      </c>
      <c r="E44" s="45">
        <v>449.18672483704802</v>
      </c>
      <c r="F44" s="45">
        <v>82.143853121007922</v>
      </c>
      <c r="G44" s="45">
        <v>529.33608870861053</v>
      </c>
      <c r="H44" s="45">
        <v>0</v>
      </c>
      <c r="I44" s="45" t="s">
        <v>415</v>
      </c>
      <c r="J44" s="50">
        <v>0.47799999999999998</v>
      </c>
      <c r="K44" s="45">
        <v>7390.4253753855664</v>
      </c>
    </row>
    <row r="45" spans="1:11" ht="15" customHeight="1" x14ac:dyDescent="0.25">
      <c r="A45" s="44">
        <v>9</v>
      </c>
      <c r="B45" s="45">
        <v>2476227.612603093</v>
      </c>
      <c r="C45" s="46">
        <v>0.47799999999999998</v>
      </c>
      <c r="D45" s="45">
        <v>9419</v>
      </c>
      <c r="E45" s="45">
        <v>523.24574410232026</v>
      </c>
      <c r="F45" s="45">
        <v>8.0848338557087924</v>
      </c>
      <c r="G45" s="45">
        <v>529.33608870861065</v>
      </c>
      <c r="H45" s="45">
        <v>0</v>
      </c>
      <c r="I45" s="45" t="s">
        <v>415</v>
      </c>
      <c r="J45" s="50">
        <v>0.47799999999999998</v>
      </c>
      <c r="K45" s="45">
        <v>9418.8387665572154</v>
      </c>
    </row>
    <row r="46" spans="1:11" ht="15" customHeight="1" x14ac:dyDescent="0.25">
      <c r="A46" s="44">
        <v>10</v>
      </c>
      <c r="B46" s="45" t="s">
        <v>43</v>
      </c>
      <c r="C46" s="46"/>
      <c r="D46" s="45"/>
      <c r="E46" s="45"/>
      <c r="F46" s="45"/>
      <c r="G46" s="45"/>
      <c r="H46" s="45"/>
      <c r="I46" s="45" t="s">
        <v>415</v>
      </c>
      <c r="J46" s="50">
        <v>0.57999999999999996</v>
      </c>
      <c r="K46" s="45">
        <v>5362.0119842139165</v>
      </c>
    </row>
    <row r="47" spans="1:11" ht="15" customHeight="1" x14ac:dyDescent="0.25">
      <c r="A47" s="44">
        <v>11</v>
      </c>
      <c r="B47" s="45">
        <v>2325216.439498757</v>
      </c>
      <c r="C47" s="46">
        <v>0.57999999999999996</v>
      </c>
      <c r="D47" s="45">
        <v>7390</v>
      </c>
      <c r="E47" s="45">
        <v>143.91102834614301</v>
      </c>
      <c r="F47" s="45">
        <v>121.87703758336809</v>
      </c>
      <c r="G47" s="45">
        <v>794.87860073715478</v>
      </c>
      <c r="H47" s="45">
        <v>0</v>
      </c>
      <c r="I47" s="45" t="s">
        <v>415</v>
      </c>
      <c r="J47" s="50">
        <v>0.57999999999999996</v>
      </c>
      <c r="K47" s="45">
        <v>7390.4253753855664</v>
      </c>
    </row>
    <row r="48" spans="1:11" ht="15" customHeight="1" x14ac:dyDescent="0.25">
      <c r="A48" s="44">
        <v>12</v>
      </c>
      <c r="B48" s="45">
        <v>2328357.3448132202</v>
      </c>
      <c r="C48" s="46">
        <v>0.57999999999999996</v>
      </c>
      <c r="D48" s="45">
        <v>9419</v>
      </c>
      <c r="E48" s="45">
        <v>243.6986625560661</v>
      </c>
      <c r="F48" s="45">
        <v>22.089403373445169</v>
      </c>
      <c r="G48" s="45">
        <v>794.87860073715467</v>
      </c>
      <c r="H48" s="45">
        <v>0</v>
      </c>
      <c r="I48" s="45" t="s">
        <v>415</v>
      </c>
      <c r="J48" s="50">
        <v>0.57999999999999996</v>
      </c>
      <c r="K48" s="45">
        <v>9418.8387665572154</v>
      </c>
    </row>
    <row r="50" spans="1:8" ht="15" customHeight="1" x14ac:dyDescent="0.25">
      <c r="A50" s="3" t="s">
        <v>44</v>
      </c>
      <c r="B50" s="4"/>
      <c r="C50" s="4"/>
      <c r="D50" s="4"/>
      <c r="E50" s="4"/>
      <c r="F50" s="4"/>
    </row>
    <row r="51" spans="1:8" ht="15" customHeight="1" x14ac:dyDescent="0.25">
      <c r="A51" s="5" t="s">
        <v>45</v>
      </c>
      <c r="B51" s="5" t="s">
        <v>34</v>
      </c>
      <c r="C51" s="5" t="s">
        <v>35</v>
      </c>
      <c r="D51" s="5" t="s">
        <v>36</v>
      </c>
      <c r="E51" s="5" t="s">
        <v>37</v>
      </c>
      <c r="F51" s="5" t="s">
        <v>38</v>
      </c>
      <c r="G51" s="5" t="s">
        <v>39</v>
      </c>
      <c r="H51" s="5" t="s">
        <v>40</v>
      </c>
    </row>
    <row r="52" spans="1:8" ht="15" customHeight="1" x14ac:dyDescent="0.25">
      <c r="A52" s="25" t="s">
        <v>46</v>
      </c>
      <c r="B52" s="33">
        <f>'3. Objective Functions'!B55</f>
        <v>2601762.0437659216</v>
      </c>
      <c r="C52" s="47">
        <f>'3. Objective Functions'!B66</f>
        <v>0.38990758545748894</v>
      </c>
      <c r="D52" s="33">
        <f>'3. Objective Functions'!B35</f>
        <v>7977.8892505153781</v>
      </c>
      <c r="E52" s="91">
        <f>'2. Plan Comparison'!B9</f>
        <v>600</v>
      </c>
      <c r="F52" s="91">
        <f>'2. Plan Comparison'!B10</f>
        <v>50</v>
      </c>
      <c r="G52" s="91">
        <f>'2. Plan Comparison'!B11</f>
        <v>300</v>
      </c>
      <c r="H52" s="91">
        <f>'2. Plan Comparison'!B12</f>
        <v>110.66666666666606</v>
      </c>
    </row>
    <row r="53" spans="1:8" ht="15" customHeight="1" x14ac:dyDescent="0.25">
      <c r="A53" s="25" t="s">
        <v>47</v>
      </c>
      <c r="B53" s="33">
        <f>'3. Objective Functions'!C55</f>
        <v>2600771.7034704131</v>
      </c>
      <c r="C53" s="47">
        <f>'3. Objective Functions'!C66</f>
        <v>0.38990758545748894</v>
      </c>
      <c r="D53" s="33">
        <f>'3. Objective Functions'!C35</f>
        <v>7974.0575437234402</v>
      </c>
      <c r="E53" s="91">
        <f>'2. Plan Comparison'!B18</f>
        <v>100</v>
      </c>
      <c r="F53" s="91">
        <f>'2. Plan Comparison'!B19</f>
        <v>100</v>
      </c>
      <c r="G53" s="91">
        <f>'2. Plan Comparison'!B20</f>
        <v>300</v>
      </c>
      <c r="H53" s="91">
        <f>'2. Plan Comparison'!B21</f>
        <v>560.66666666666606</v>
      </c>
    </row>
    <row r="55" spans="1:8" ht="15.75" x14ac:dyDescent="0.25">
      <c r="A55" s="90" t="s">
        <v>388</v>
      </c>
      <c r="B55" s="90"/>
      <c r="C55" s="90"/>
      <c r="D55" s="90"/>
      <c r="E55" s="90"/>
      <c r="F55" s="90"/>
    </row>
    <row r="56" spans="1:8" x14ac:dyDescent="0.25">
      <c r="A56" s="79" t="s">
        <v>389</v>
      </c>
    </row>
    <row r="57" spans="1:8" x14ac:dyDescent="0.25">
      <c r="A57" s="79" t="s">
        <v>390</v>
      </c>
    </row>
    <row r="58" spans="1:8" x14ac:dyDescent="0.25">
      <c r="A58" s="5" t="s">
        <v>45</v>
      </c>
      <c r="B58" s="5" t="s">
        <v>391</v>
      </c>
      <c r="C58" s="5" t="s">
        <v>392</v>
      </c>
      <c r="D58" s="5" t="s">
        <v>393</v>
      </c>
      <c r="E58" s="5" t="s">
        <v>37</v>
      </c>
      <c r="F58" s="5" t="s">
        <v>38</v>
      </c>
      <c r="G58" s="5" t="s">
        <v>39</v>
      </c>
      <c r="H58" s="5" t="s">
        <v>40</v>
      </c>
    </row>
    <row r="59" spans="1:8" x14ac:dyDescent="0.25">
      <c r="A59" s="25" t="s">
        <v>46</v>
      </c>
      <c r="B59" s="92">
        <v>2601762.0382993254</v>
      </c>
      <c r="C59" s="93">
        <v>0.38990758545748894</v>
      </c>
      <c r="D59" s="92">
        <v>7918.8509737526183</v>
      </c>
      <c r="E59" s="94">
        <v>712</v>
      </c>
      <c r="F59" s="94">
        <v>48</v>
      </c>
      <c r="G59" s="94">
        <v>300</v>
      </c>
      <c r="H59" s="94">
        <v>0</v>
      </c>
    </row>
    <row r="60" spans="1:8" x14ac:dyDescent="0.25">
      <c r="A60" s="25" t="s">
        <v>47</v>
      </c>
      <c r="B60" s="92">
        <v>2600771.6870756689</v>
      </c>
      <c r="C60" s="93">
        <v>0.38990758545748894</v>
      </c>
      <c r="D60" s="92">
        <v>7226.2207712318777</v>
      </c>
      <c r="E60" s="94">
        <v>683</v>
      </c>
      <c r="F60" s="94">
        <v>78</v>
      </c>
      <c r="G60" s="94">
        <v>300</v>
      </c>
      <c r="H60" s="94">
        <v>0</v>
      </c>
    </row>
  </sheetData>
  <mergeCells count="4">
    <mergeCell ref="J35:K35"/>
    <mergeCell ref="A2:D2"/>
    <mergeCell ref="A34:H34"/>
    <mergeCell ref="A55:F5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D57"/>
  <sheetViews>
    <sheetView zoomScaleNormal="100" workbookViewId="0">
      <selection activeCell="H18" sqref="H18"/>
    </sheetView>
  </sheetViews>
  <sheetFormatPr defaultColWidth="8.7109375" defaultRowHeight="15" x14ac:dyDescent="0.25"/>
  <cols>
    <col min="1" max="1" width="57.5703125" bestFit="1" customWidth="1"/>
    <col min="2" max="2" width="30" bestFit="1" customWidth="1"/>
    <col min="3" max="3" width="20.140625" customWidth="1"/>
    <col min="4" max="4" width="40.7109375" bestFit="1" customWidth="1"/>
  </cols>
  <sheetData>
    <row r="1" spans="1:4" ht="17.25" customHeight="1" x14ac:dyDescent="0.25">
      <c r="A1" s="1" t="s">
        <v>234</v>
      </c>
    </row>
    <row r="2" spans="1:4" ht="15" customHeight="1" x14ac:dyDescent="0.25">
      <c r="A2" s="2" t="s">
        <v>375</v>
      </c>
    </row>
    <row r="4" spans="1:4" ht="15" customHeight="1" x14ac:dyDescent="0.25">
      <c r="A4" s="22" t="s">
        <v>235</v>
      </c>
      <c r="B4" s="23"/>
      <c r="C4" s="23"/>
      <c r="D4" s="23"/>
    </row>
    <row r="5" spans="1:4" ht="27.6" customHeight="1" x14ac:dyDescent="0.25">
      <c r="A5" s="85" t="s">
        <v>236</v>
      </c>
      <c r="B5" s="85"/>
      <c r="C5" s="85"/>
      <c r="D5" s="85"/>
    </row>
    <row r="6" spans="1:4" ht="15" customHeight="1" x14ac:dyDescent="0.25">
      <c r="A6" s="5" t="s">
        <v>237</v>
      </c>
      <c r="B6" s="5" t="s">
        <v>46</v>
      </c>
      <c r="C6" s="5" t="s">
        <v>47</v>
      </c>
      <c r="D6" s="5" t="s">
        <v>107</v>
      </c>
    </row>
    <row r="7" spans="1:4" ht="15" customHeight="1" x14ac:dyDescent="0.25">
      <c r="A7" s="6" t="s">
        <v>238</v>
      </c>
      <c r="B7" s="13">
        <f>'4. Optimizer'!B52</f>
        <v>2601762.0437659216</v>
      </c>
      <c r="C7" s="13">
        <f>'4. Optimizer'!B53</f>
        <v>2600771.7034704131</v>
      </c>
      <c r="D7" s="8" t="s">
        <v>239</v>
      </c>
    </row>
    <row r="8" spans="1:4" ht="15" customHeight="1" x14ac:dyDescent="0.25">
      <c r="A8" s="6" t="s">
        <v>240</v>
      </c>
      <c r="B8" s="48">
        <f>'4. Optimizer'!C52</f>
        <v>0.38990758545748894</v>
      </c>
      <c r="C8" s="48">
        <f>'4. Optimizer'!C53</f>
        <v>0.38990758545748894</v>
      </c>
      <c r="D8" s="8" t="s">
        <v>239</v>
      </c>
    </row>
    <row r="9" spans="1:4" ht="15" customHeight="1" x14ac:dyDescent="0.25">
      <c r="A9" s="6" t="s">
        <v>241</v>
      </c>
      <c r="B9" s="13">
        <f>'4. Optimizer'!D52</f>
        <v>7977.8892505153781</v>
      </c>
      <c r="C9" s="13">
        <f>'4. Optimizer'!D53</f>
        <v>7974.0575437234402</v>
      </c>
      <c r="D9" s="8" t="s">
        <v>239</v>
      </c>
    </row>
    <row r="10" spans="1:4" ht="15" customHeight="1" x14ac:dyDescent="0.25">
      <c r="A10" s="6"/>
      <c r="B10" s="14"/>
      <c r="C10" s="14"/>
      <c r="D10" s="14"/>
    </row>
    <row r="11" spans="1:4" ht="15" customHeight="1" x14ac:dyDescent="0.25">
      <c r="A11" s="6" t="s">
        <v>242</v>
      </c>
      <c r="B11" s="13">
        <f>'4. Optimizer'!B59</f>
        <v>2601762.0382993254</v>
      </c>
      <c r="C11" s="13">
        <f>'4. Optimizer'!B60</f>
        <v>2600771.6870756689</v>
      </c>
      <c r="D11" s="8" t="s">
        <v>243</v>
      </c>
    </row>
    <row r="12" spans="1:4" ht="15" customHeight="1" x14ac:dyDescent="0.25">
      <c r="A12" s="6" t="s">
        <v>244</v>
      </c>
      <c r="B12" s="48">
        <f>'4. Optimizer'!C59</f>
        <v>0.38990758545748894</v>
      </c>
      <c r="C12" s="48">
        <f>'4. Optimizer'!C60</f>
        <v>0.38990758545748894</v>
      </c>
      <c r="D12" s="8" t="s">
        <v>243</v>
      </c>
    </row>
    <row r="13" spans="1:4" ht="15" customHeight="1" x14ac:dyDescent="0.25">
      <c r="A13" s="6" t="s">
        <v>245</v>
      </c>
      <c r="B13" s="13">
        <f>'4. Optimizer'!D59</f>
        <v>7918.8509737526183</v>
      </c>
      <c r="C13" s="13">
        <f>'4. Optimizer'!D60</f>
        <v>7226.2207712318777</v>
      </c>
      <c r="D13" s="8" t="s">
        <v>243</v>
      </c>
    </row>
    <row r="14" spans="1:4" ht="15" customHeight="1" x14ac:dyDescent="0.25">
      <c r="A14" s="6"/>
      <c r="B14" s="14"/>
      <c r="C14" s="14"/>
      <c r="D14" s="14"/>
    </row>
    <row r="15" spans="1:4" ht="15" customHeight="1" x14ac:dyDescent="0.25">
      <c r="A15" s="6" t="s">
        <v>377</v>
      </c>
      <c r="B15" s="97">
        <f>IF(B11=0,"",B7/B11)</f>
        <v>1.0000000021011131</v>
      </c>
      <c r="C15" s="97">
        <f>IF(C11=0,"",C7/C11)</f>
        <v>1.0000000063037999</v>
      </c>
      <c r="D15" s="8" t="s">
        <v>380</v>
      </c>
    </row>
    <row r="16" spans="1:4" ht="15" customHeight="1" x14ac:dyDescent="0.25">
      <c r="A16" s="6" t="s">
        <v>378</v>
      </c>
      <c r="B16" s="97">
        <f>IF(B12=0,"",B8/B12)</f>
        <v>1</v>
      </c>
      <c r="C16" s="97">
        <f>IF(C12=0,"",C8/C12)</f>
        <v>1</v>
      </c>
      <c r="D16" s="8" t="s">
        <v>380</v>
      </c>
    </row>
    <row r="17" spans="1:4" ht="15" customHeight="1" x14ac:dyDescent="0.25">
      <c r="A17" s="6" t="s">
        <v>379</v>
      </c>
      <c r="B17" s="97">
        <f>IF(B9=0,"",B13/B9)</f>
        <v>0.99259976230442837</v>
      </c>
      <c r="C17" s="97">
        <f>IF(C9=0,"",C13/C9)</f>
        <v>0.90621628093464146</v>
      </c>
      <c r="D17" s="8" t="s">
        <v>381</v>
      </c>
    </row>
    <row r="18" spans="1:4" ht="15" customHeight="1" x14ac:dyDescent="0.25">
      <c r="A18" s="6"/>
      <c r="B18" s="24"/>
      <c r="C18" s="24"/>
      <c r="D18" s="8"/>
    </row>
    <row r="19" spans="1:4" ht="15" customHeight="1" x14ac:dyDescent="0.25">
      <c r="A19" s="73" t="s">
        <v>382</v>
      </c>
      <c r="B19" s="98">
        <f>MIN(B15:B17)</f>
        <v>0.99259976230442837</v>
      </c>
      <c r="C19" s="98">
        <f>MIN(C15:C17)</f>
        <v>0.90621628093464146</v>
      </c>
      <c r="D19" s="74"/>
    </row>
    <row r="21" spans="1:4" ht="15" customHeight="1" x14ac:dyDescent="0.25">
      <c r="A21" s="22" t="s">
        <v>246</v>
      </c>
      <c r="B21" s="23"/>
      <c r="C21" s="23"/>
      <c r="D21" s="23"/>
    </row>
    <row r="22" spans="1:4" ht="15" customHeight="1" x14ac:dyDescent="0.25">
      <c r="A22" s="5" t="s">
        <v>247</v>
      </c>
      <c r="B22" s="5" t="s">
        <v>105</v>
      </c>
      <c r="C22" s="5" t="s">
        <v>106</v>
      </c>
      <c r="D22" s="5" t="s">
        <v>107</v>
      </c>
    </row>
    <row r="23" spans="1:4" ht="15" customHeight="1" x14ac:dyDescent="0.25">
      <c r="A23" s="71" t="s">
        <v>248</v>
      </c>
      <c r="B23" s="17" t="s">
        <v>109</v>
      </c>
      <c r="C23" s="44" t="s">
        <v>110</v>
      </c>
      <c r="D23" s="72" t="s">
        <v>249</v>
      </c>
    </row>
    <row r="24" spans="1:4" ht="15" customHeight="1" x14ac:dyDescent="0.25">
      <c r="A24" s="71" t="s">
        <v>112</v>
      </c>
      <c r="B24" s="17" t="s">
        <v>109</v>
      </c>
      <c r="C24" s="44" t="s">
        <v>110</v>
      </c>
      <c r="D24" s="72" t="s">
        <v>249</v>
      </c>
    </row>
    <row r="25" spans="1:4" ht="15" customHeight="1" x14ac:dyDescent="0.25">
      <c r="A25" s="71" t="s">
        <v>114</v>
      </c>
      <c r="B25" s="17" t="s">
        <v>109</v>
      </c>
      <c r="C25" s="44" t="s">
        <v>110</v>
      </c>
      <c r="D25" s="72" t="s">
        <v>249</v>
      </c>
    </row>
    <row r="26" spans="1:4" ht="15" customHeight="1" x14ac:dyDescent="0.25">
      <c r="A26" s="71" t="s">
        <v>116</v>
      </c>
      <c r="B26" s="19" t="s">
        <v>117</v>
      </c>
      <c r="C26" s="44" t="s">
        <v>118</v>
      </c>
      <c r="D26" s="72" t="s">
        <v>119</v>
      </c>
    </row>
    <row r="27" spans="1:4" ht="15" customHeight="1" x14ac:dyDescent="0.25">
      <c r="A27" s="71" t="s">
        <v>120</v>
      </c>
      <c r="B27" s="19" t="s">
        <v>117</v>
      </c>
      <c r="C27" s="44" t="s">
        <v>118</v>
      </c>
      <c r="D27" s="72" t="s">
        <v>119</v>
      </c>
    </row>
    <row r="28" spans="1:4" ht="15" customHeight="1" x14ac:dyDescent="0.25">
      <c r="A28" s="71"/>
      <c r="B28" s="44"/>
      <c r="C28" s="44"/>
      <c r="D28" s="44"/>
    </row>
    <row r="29" spans="1:4" ht="15" customHeight="1" x14ac:dyDescent="0.25">
      <c r="A29" s="75" t="s">
        <v>383</v>
      </c>
      <c r="B29" s="76"/>
      <c r="C29" s="77">
        <f>3/5</f>
        <v>0.6</v>
      </c>
      <c r="D29" s="78" t="s">
        <v>384</v>
      </c>
    </row>
    <row r="31" spans="1:4" ht="15" customHeight="1" x14ac:dyDescent="0.25">
      <c r="A31" s="22" t="s">
        <v>250</v>
      </c>
      <c r="B31" s="23"/>
      <c r="C31" s="23"/>
      <c r="D31" s="23"/>
    </row>
    <row r="32" spans="1:4" ht="15" customHeight="1" x14ac:dyDescent="0.25">
      <c r="A32" s="5" t="s">
        <v>251</v>
      </c>
      <c r="B32" s="5" t="s">
        <v>252</v>
      </c>
      <c r="C32" s="5" t="s">
        <v>144</v>
      </c>
      <c r="D32" s="5" t="s">
        <v>107</v>
      </c>
    </row>
    <row r="33" spans="1:4" ht="15" customHeight="1" x14ac:dyDescent="0.25">
      <c r="A33" s="71" t="s">
        <v>253</v>
      </c>
      <c r="B33" s="44" t="s">
        <v>68</v>
      </c>
      <c r="C33" s="44" t="s">
        <v>254</v>
      </c>
      <c r="D33" s="72" t="s">
        <v>255</v>
      </c>
    </row>
    <row r="34" spans="1:4" ht="15" customHeight="1" x14ac:dyDescent="0.25">
      <c r="A34" s="71" t="s">
        <v>256</v>
      </c>
      <c r="B34" s="44" t="s">
        <v>68</v>
      </c>
      <c r="C34" s="44" t="s">
        <v>254</v>
      </c>
      <c r="D34" s="72" t="s">
        <v>257</v>
      </c>
    </row>
    <row r="35" spans="1:4" ht="15" customHeight="1" x14ac:dyDescent="0.25">
      <c r="A35" s="71" t="s">
        <v>258</v>
      </c>
      <c r="B35" s="44" t="s">
        <v>68</v>
      </c>
      <c r="C35" s="44" t="s">
        <v>254</v>
      </c>
      <c r="D35" s="72" t="s">
        <v>259</v>
      </c>
    </row>
    <row r="36" spans="1:4" ht="15" customHeight="1" x14ac:dyDescent="0.25">
      <c r="A36" s="71" t="s">
        <v>260</v>
      </c>
      <c r="B36" s="44" t="s">
        <v>68</v>
      </c>
      <c r="C36" s="44" t="s">
        <v>254</v>
      </c>
      <c r="D36" s="72" t="s">
        <v>261</v>
      </c>
    </row>
    <row r="37" spans="1:4" ht="15" customHeight="1" x14ac:dyDescent="0.25">
      <c r="A37" s="71" t="s">
        <v>262</v>
      </c>
      <c r="B37" s="44" t="s">
        <v>263</v>
      </c>
      <c r="C37" s="44" t="s">
        <v>254</v>
      </c>
      <c r="D37" s="72" t="s">
        <v>264</v>
      </c>
    </row>
    <row r="38" spans="1:4" ht="15" customHeight="1" x14ac:dyDescent="0.25">
      <c r="A38" s="71" t="s">
        <v>265</v>
      </c>
      <c r="B38" s="44" t="s">
        <v>266</v>
      </c>
      <c r="C38" s="44" t="s">
        <v>254</v>
      </c>
      <c r="D38" s="72" t="s">
        <v>267</v>
      </c>
    </row>
    <row r="39" spans="1:4" ht="15" customHeight="1" x14ac:dyDescent="0.25">
      <c r="A39" s="71" t="s">
        <v>268</v>
      </c>
      <c r="B39" s="44" t="s">
        <v>118</v>
      </c>
      <c r="C39" s="44" t="s">
        <v>152</v>
      </c>
      <c r="D39" s="72" t="s">
        <v>269</v>
      </c>
    </row>
    <row r="40" spans="1:4" ht="15" customHeight="1" x14ac:dyDescent="0.25">
      <c r="A40" s="71" t="s">
        <v>270</v>
      </c>
      <c r="B40" s="44" t="s">
        <v>118</v>
      </c>
      <c r="C40" s="44" t="s">
        <v>147</v>
      </c>
      <c r="D40" s="72" t="s">
        <v>271</v>
      </c>
    </row>
    <row r="41" spans="1:4" ht="15" customHeight="1" x14ac:dyDescent="0.25">
      <c r="A41" s="71" t="s">
        <v>272</v>
      </c>
      <c r="B41" s="44" t="s">
        <v>118</v>
      </c>
      <c r="C41" s="44" t="s">
        <v>147</v>
      </c>
      <c r="D41" s="72" t="s">
        <v>271</v>
      </c>
    </row>
    <row r="43" spans="1:4" ht="15" customHeight="1" x14ac:dyDescent="0.25">
      <c r="A43" s="22" t="s">
        <v>273</v>
      </c>
      <c r="B43" s="23"/>
      <c r="C43" s="23"/>
      <c r="D43" s="23"/>
    </row>
    <row r="44" spans="1:4" ht="15" customHeight="1" x14ac:dyDescent="0.25">
      <c r="A44" s="5" t="s">
        <v>274</v>
      </c>
      <c r="B44" s="5" t="s">
        <v>46</v>
      </c>
      <c r="C44" s="5" t="s">
        <v>47</v>
      </c>
      <c r="D44" s="5" t="s">
        <v>107</v>
      </c>
    </row>
    <row r="45" spans="1:4" ht="15" customHeight="1" x14ac:dyDescent="0.25">
      <c r="A45" s="6" t="s">
        <v>275</v>
      </c>
      <c r="B45" s="14" t="str">
        <f>IF('2. Plan Comparison'!B14=0,"PASS","FAIL")</f>
        <v>PASS</v>
      </c>
      <c r="C45" s="14" t="str">
        <f>IF('2. Plan Comparison'!B23=0,"PASS","FAIL")</f>
        <v>PASS</v>
      </c>
      <c r="D45" s="14" t="s">
        <v>276</v>
      </c>
    </row>
    <row r="46" spans="1:4" ht="15" customHeight="1" x14ac:dyDescent="0.25">
      <c r="A46" s="6" t="s">
        <v>277</v>
      </c>
      <c r="B46" s="14" t="str">
        <f>IF(AND('2. Plan Comparison'!B9&gt;=0,'2. Plan Comparison'!B10&gt;=0,'2. Plan Comparison'!B11&gt;=0,'2. Plan Comparison'!B12&gt;=0),"PASS","FAIL")</f>
        <v>PASS</v>
      </c>
      <c r="C46" s="14" t="str">
        <f>IF(AND('2. Plan Comparison'!B18&gt;=0,'2. Plan Comparison'!B19&gt;=0,'2. Plan Comparison'!B20&gt;=0,'2. Plan Comparison'!B21&gt;=0),"PASS","FAIL")</f>
        <v>PASS</v>
      </c>
      <c r="D46" s="14" t="s">
        <v>278</v>
      </c>
    </row>
    <row r="47" spans="1:4" ht="15" customHeight="1" x14ac:dyDescent="0.25">
      <c r="A47" s="6" t="s">
        <v>279</v>
      </c>
      <c r="B47" s="14" t="s">
        <v>280</v>
      </c>
      <c r="C47" s="14" t="s">
        <v>280</v>
      </c>
      <c r="D47" s="14" t="s">
        <v>281</v>
      </c>
    </row>
    <row r="48" spans="1:4" ht="15" customHeight="1" x14ac:dyDescent="0.25">
      <c r="A48" s="6" t="s">
        <v>282</v>
      </c>
      <c r="B48" s="14" t="s">
        <v>280</v>
      </c>
      <c r="C48" s="14" t="s">
        <v>280</v>
      </c>
      <c r="D48" s="14" t="s">
        <v>281</v>
      </c>
    </row>
    <row r="50" spans="1:4" ht="15" customHeight="1" x14ac:dyDescent="0.25">
      <c r="A50" s="22" t="s">
        <v>283</v>
      </c>
      <c r="B50" s="23"/>
      <c r="C50" s="23"/>
      <c r="D50" s="23"/>
    </row>
    <row r="51" spans="1:4" ht="15" customHeight="1" x14ac:dyDescent="0.25">
      <c r="A51" s="5" t="s">
        <v>50</v>
      </c>
      <c r="B51" s="5" t="s">
        <v>123</v>
      </c>
      <c r="C51" s="5"/>
      <c r="D51" s="5"/>
    </row>
    <row r="52" spans="1:4" ht="15" customHeight="1" x14ac:dyDescent="0.25">
      <c r="A52" s="6" t="s">
        <v>284</v>
      </c>
      <c r="B52" s="14" t="s">
        <v>285</v>
      </c>
      <c r="C52" s="14"/>
      <c r="D52" s="14"/>
    </row>
    <row r="53" spans="1:4" ht="15" customHeight="1" x14ac:dyDescent="0.25">
      <c r="A53" s="6" t="s">
        <v>286</v>
      </c>
      <c r="B53" s="14" t="s">
        <v>287</v>
      </c>
      <c r="C53" s="14"/>
      <c r="D53" s="14"/>
    </row>
    <row r="54" spans="1:4" ht="15" customHeight="1" x14ac:dyDescent="0.25">
      <c r="A54" s="6" t="s">
        <v>288</v>
      </c>
      <c r="B54" s="14" t="s">
        <v>125</v>
      </c>
      <c r="C54" s="14"/>
      <c r="D54" s="14"/>
    </row>
    <row r="55" spans="1:4" ht="15" customHeight="1" x14ac:dyDescent="0.25">
      <c r="A55" s="6" t="s">
        <v>289</v>
      </c>
      <c r="B55" s="14" t="s">
        <v>290</v>
      </c>
      <c r="C55" s="14"/>
      <c r="D55" s="14"/>
    </row>
    <row r="56" spans="1:4" ht="15" customHeight="1" x14ac:dyDescent="0.25">
      <c r="A56" s="6" t="s">
        <v>291</v>
      </c>
      <c r="B56" s="14" t="s">
        <v>292</v>
      </c>
      <c r="C56" s="14"/>
      <c r="D56" s="14"/>
    </row>
    <row r="57" spans="1:4" ht="15" customHeight="1" x14ac:dyDescent="0.25">
      <c r="A57" s="6" t="s">
        <v>293</v>
      </c>
      <c r="B57" s="14" t="s">
        <v>294</v>
      </c>
      <c r="C57" s="14"/>
      <c r="D57" s="14"/>
    </row>
  </sheetData>
  <mergeCells count="1">
    <mergeCell ref="A5:D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04040"/>
  </sheetPr>
  <dimension ref="A1:B121"/>
  <sheetViews>
    <sheetView zoomScaleNormal="100" workbookViewId="0">
      <selection activeCell="A98" sqref="A98"/>
    </sheetView>
  </sheetViews>
  <sheetFormatPr defaultColWidth="8.7109375" defaultRowHeight="14.25" x14ac:dyDescent="0.2"/>
  <cols>
    <col min="1" max="1" width="166.28515625" style="80" bestFit="1" customWidth="1"/>
    <col min="2" max="2" width="79.28515625" style="80" bestFit="1" customWidth="1"/>
    <col min="3" max="16384" width="8.7109375" style="80"/>
  </cols>
  <sheetData>
    <row r="1" spans="1:2" ht="17.25" customHeight="1" x14ac:dyDescent="0.25">
      <c r="A1" s="55" t="s">
        <v>295</v>
      </c>
    </row>
    <row r="2" spans="1:2" ht="29.45" customHeight="1" x14ac:dyDescent="0.2">
      <c r="A2" s="60" t="s">
        <v>296</v>
      </c>
    </row>
    <row r="3" spans="1:2" ht="15" customHeight="1" x14ac:dyDescent="0.2">
      <c r="A3" s="2"/>
    </row>
    <row r="4" spans="1:2" ht="15.75" x14ac:dyDescent="0.25">
      <c r="A4" s="56" t="s">
        <v>297</v>
      </c>
    </row>
    <row r="5" spans="1:2" ht="15" customHeight="1" x14ac:dyDescent="0.2">
      <c r="A5" s="68" t="s">
        <v>298</v>
      </c>
    </row>
    <row r="6" spans="1:2" ht="15" customHeight="1" x14ac:dyDescent="0.2">
      <c r="A6" s="68" t="s">
        <v>299</v>
      </c>
    </row>
    <row r="7" spans="1:2" ht="15" customHeight="1" x14ac:dyDescent="0.2">
      <c r="A7" s="57" t="s">
        <v>300</v>
      </c>
    </row>
    <row r="8" spans="1:2" ht="15" customHeight="1" x14ac:dyDescent="0.2">
      <c r="A8" s="57" t="s">
        <v>301</v>
      </c>
    </row>
    <row r="9" spans="1:2" ht="15" customHeight="1" x14ac:dyDescent="0.2">
      <c r="A9" s="57" t="s">
        <v>302</v>
      </c>
    </row>
    <row r="11" spans="1:2" ht="15" customHeight="1" x14ac:dyDescent="0.25">
      <c r="A11" s="56" t="s">
        <v>303</v>
      </c>
    </row>
    <row r="12" spans="1:2" ht="15" customHeight="1" x14ac:dyDescent="0.2">
      <c r="A12" s="57" t="s">
        <v>304</v>
      </c>
    </row>
    <row r="13" spans="1:2" ht="15" customHeight="1" x14ac:dyDescent="0.2">
      <c r="A13" s="57" t="s">
        <v>305</v>
      </c>
    </row>
    <row r="14" spans="1:2" x14ac:dyDescent="0.2">
      <c r="A14" s="57" t="s">
        <v>306</v>
      </c>
    </row>
    <row r="15" spans="1:2" ht="15" customHeight="1" x14ac:dyDescent="0.25">
      <c r="A15" s="57" t="s">
        <v>307</v>
      </c>
      <c r="B15" s="81"/>
    </row>
    <row r="16" spans="1:2" x14ac:dyDescent="0.2">
      <c r="B16" s="39"/>
    </row>
    <row r="17" spans="1:2" ht="15" customHeight="1" x14ac:dyDescent="0.2">
      <c r="A17" s="58" t="s">
        <v>308</v>
      </c>
      <c r="B17" s="39"/>
    </row>
    <row r="18" spans="1:2" ht="15" customHeight="1" x14ac:dyDescent="0.2">
      <c r="A18" s="57" t="s">
        <v>309</v>
      </c>
      <c r="B18" s="39"/>
    </row>
    <row r="19" spans="1:2" ht="15" customHeight="1" x14ac:dyDescent="0.2">
      <c r="A19" s="57" t="s">
        <v>310</v>
      </c>
      <c r="B19" s="39"/>
    </row>
    <row r="20" spans="1:2" ht="15" customHeight="1" x14ac:dyDescent="0.2">
      <c r="A20" s="57" t="s">
        <v>311</v>
      </c>
      <c r="B20" s="39"/>
    </row>
    <row r="21" spans="1:2" x14ac:dyDescent="0.2">
      <c r="A21" s="57" t="s">
        <v>312</v>
      </c>
      <c r="B21" s="39"/>
    </row>
    <row r="22" spans="1:2" ht="15" customHeight="1" x14ac:dyDescent="0.25">
      <c r="A22" s="20"/>
      <c r="B22" s="39"/>
    </row>
    <row r="23" spans="1:2" ht="15.75" x14ac:dyDescent="0.25">
      <c r="A23" s="56" t="s">
        <v>313</v>
      </c>
      <c r="B23" s="39"/>
    </row>
    <row r="24" spans="1:2" ht="15" customHeight="1" x14ac:dyDescent="0.2">
      <c r="A24" s="58" t="s">
        <v>314</v>
      </c>
      <c r="B24" s="39"/>
    </row>
    <row r="25" spans="1:2" ht="15" customHeight="1" x14ac:dyDescent="0.2">
      <c r="B25" s="39"/>
    </row>
    <row r="26" spans="1:2" x14ac:dyDescent="0.2">
      <c r="A26" s="57" t="s">
        <v>315</v>
      </c>
      <c r="B26" s="39"/>
    </row>
    <row r="27" spans="1:2" ht="15" customHeight="1" x14ac:dyDescent="0.2">
      <c r="A27" s="57" t="s">
        <v>316</v>
      </c>
      <c r="B27" s="39"/>
    </row>
    <row r="28" spans="1:2" ht="15" customHeight="1" x14ac:dyDescent="0.2">
      <c r="A28" s="57" t="s">
        <v>317</v>
      </c>
      <c r="B28" s="39"/>
    </row>
    <row r="29" spans="1:2" ht="15" customHeight="1" x14ac:dyDescent="0.2">
      <c r="A29" s="57" t="s">
        <v>318</v>
      </c>
    </row>
    <row r="30" spans="1:2" ht="15" customHeight="1" x14ac:dyDescent="0.2">
      <c r="A30" s="57" t="s">
        <v>319</v>
      </c>
    </row>
    <row r="31" spans="1:2" ht="15" customHeight="1" x14ac:dyDescent="0.2">
      <c r="A31" s="57" t="s">
        <v>386</v>
      </c>
    </row>
    <row r="32" spans="1:2" ht="15" customHeight="1" x14ac:dyDescent="0.2">
      <c r="A32" s="57" t="s">
        <v>320</v>
      </c>
    </row>
    <row r="33" spans="1:1" ht="15" customHeight="1" x14ac:dyDescent="0.2">
      <c r="A33" s="57" t="s">
        <v>321</v>
      </c>
    </row>
    <row r="34" spans="1:1" ht="15" customHeight="1" x14ac:dyDescent="0.2">
      <c r="A34" s="57" t="s">
        <v>322</v>
      </c>
    </row>
    <row r="35" spans="1:1" ht="15" customHeight="1" x14ac:dyDescent="0.2">
      <c r="A35" s="57" t="s">
        <v>323</v>
      </c>
    </row>
    <row r="36" spans="1:1" ht="15" customHeight="1" x14ac:dyDescent="0.2">
      <c r="A36" s="57" t="s">
        <v>324</v>
      </c>
    </row>
    <row r="37" spans="1:1" ht="15" customHeight="1" x14ac:dyDescent="0.2">
      <c r="A37" s="57" t="s">
        <v>325</v>
      </c>
    </row>
    <row r="38" spans="1:1" ht="15" customHeight="1" x14ac:dyDescent="0.2">
      <c r="A38" s="57" t="s">
        <v>326</v>
      </c>
    </row>
    <row r="39" spans="1:1" ht="15" customHeight="1" x14ac:dyDescent="0.2">
      <c r="A39" s="57" t="s">
        <v>327</v>
      </c>
    </row>
    <row r="40" spans="1:1" x14ac:dyDescent="0.2">
      <c r="A40" s="57" t="s">
        <v>328</v>
      </c>
    </row>
    <row r="41" spans="1:1" ht="15" customHeight="1" x14ac:dyDescent="0.2">
      <c r="A41" s="57" t="s">
        <v>329</v>
      </c>
    </row>
    <row r="43" spans="1:1" ht="15" customHeight="1" x14ac:dyDescent="0.25">
      <c r="A43" s="56" t="s">
        <v>376</v>
      </c>
    </row>
    <row r="44" spans="1:1" ht="15" customHeight="1" x14ac:dyDescent="0.2">
      <c r="A44" s="57" t="s">
        <v>330</v>
      </c>
    </row>
    <row r="45" spans="1:1" ht="15" customHeight="1" x14ac:dyDescent="0.2">
      <c r="A45" s="39"/>
    </row>
    <row r="46" spans="1:1" ht="15" customHeight="1" x14ac:dyDescent="0.25">
      <c r="A46" s="59" t="s">
        <v>331</v>
      </c>
    </row>
    <row r="47" spans="1:1" x14ac:dyDescent="0.2">
      <c r="A47" s="57" t="s">
        <v>332</v>
      </c>
    </row>
    <row r="48" spans="1:1" ht="15" customHeight="1" x14ac:dyDescent="0.2">
      <c r="A48" s="57" t="s">
        <v>333</v>
      </c>
    </row>
    <row r="50" spans="1:1" ht="15" customHeight="1" x14ac:dyDescent="0.25">
      <c r="A50" s="59" t="s">
        <v>334</v>
      </c>
    </row>
    <row r="51" spans="1:1" ht="15" customHeight="1" x14ac:dyDescent="0.2">
      <c r="A51" s="57" t="s">
        <v>335</v>
      </c>
    </row>
    <row r="52" spans="1:1" ht="15" customHeight="1" x14ac:dyDescent="0.2">
      <c r="A52" s="57" t="s">
        <v>336</v>
      </c>
    </row>
    <row r="54" spans="1:1" ht="15" customHeight="1" x14ac:dyDescent="0.25">
      <c r="A54" s="59" t="s">
        <v>337</v>
      </c>
    </row>
    <row r="55" spans="1:1" ht="15" customHeight="1" x14ac:dyDescent="0.2">
      <c r="A55" s="57" t="s">
        <v>335</v>
      </c>
    </row>
    <row r="56" spans="1:1" ht="15" customHeight="1" x14ac:dyDescent="0.2">
      <c r="A56" s="57" t="s">
        <v>387</v>
      </c>
    </row>
    <row r="57" spans="1:1" ht="15" customHeight="1" x14ac:dyDescent="0.2">
      <c r="A57" s="39"/>
    </row>
    <row r="58" spans="1:1" ht="15" customHeight="1" x14ac:dyDescent="0.2">
      <c r="A58" s="58" t="s">
        <v>338</v>
      </c>
    </row>
    <row r="59" spans="1:1" ht="15" customHeight="1" x14ac:dyDescent="0.2">
      <c r="A59" s="39"/>
    </row>
    <row r="60" spans="1:1" ht="15.75" x14ac:dyDescent="0.25">
      <c r="A60" s="56" t="s">
        <v>339</v>
      </c>
    </row>
    <row r="61" spans="1:1" x14ac:dyDescent="0.2">
      <c r="A61" s="57" t="s">
        <v>340</v>
      </c>
    </row>
    <row r="63" spans="1:1" ht="15" x14ac:dyDescent="0.25">
      <c r="A63" s="59" t="s">
        <v>341</v>
      </c>
    </row>
    <row r="65" spans="1:1" x14ac:dyDescent="0.2">
      <c r="A65" s="57" t="s">
        <v>342</v>
      </c>
    </row>
    <row r="66" spans="1:1" x14ac:dyDescent="0.2">
      <c r="A66" s="57" t="s">
        <v>343</v>
      </c>
    </row>
    <row r="67" spans="1:1" x14ac:dyDescent="0.2">
      <c r="A67" s="57" t="s">
        <v>344</v>
      </c>
    </row>
    <row r="68" spans="1:1" x14ac:dyDescent="0.2">
      <c r="A68" s="57" t="s">
        <v>345</v>
      </c>
    </row>
    <row r="69" spans="1:1" x14ac:dyDescent="0.2">
      <c r="A69" s="57" t="s">
        <v>346</v>
      </c>
    </row>
    <row r="71" spans="1:1" ht="15" x14ac:dyDescent="0.25">
      <c r="A71" s="59" t="s">
        <v>347</v>
      </c>
    </row>
    <row r="73" spans="1:1" x14ac:dyDescent="0.2">
      <c r="A73" s="57" t="s">
        <v>348</v>
      </c>
    </row>
    <row r="74" spans="1:1" x14ac:dyDescent="0.2">
      <c r="A74" s="57" t="s">
        <v>349</v>
      </c>
    </row>
    <row r="75" spans="1:1" x14ac:dyDescent="0.2">
      <c r="A75" s="57" t="s">
        <v>350</v>
      </c>
    </row>
    <row r="76" spans="1:1" x14ac:dyDescent="0.2">
      <c r="A76" s="57" t="s">
        <v>351</v>
      </c>
    </row>
    <row r="77" spans="1:1" x14ac:dyDescent="0.2">
      <c r="A77" s="57" t="s">
        <v>352</v>
      </c>
    </row>
    <row r="79" spans="1:1" ht="15.75" x14ac:dyDescent="0.25">
      <c r="A79" s="56" t="s">
        <v>394</v>
      </c>
    </row>
    <row r="80" spans="1:1" x14ac:dyDescent="0.2">
      <c r="A80" s="57" t="s">
        <v>395</v>
      </c>
    </row>
    <row r="81" spans="1:1" x14ac:dyDescent="0.2">
      <c r="A81" s="82" t="s">
        <v>396</v>
      </c>
    </row>
    <row r="82" spans="1:1" ht="25.5" x14ac:dyDescent="0.2">
      <c r="A82" s="83" t="s">
        <v>397</v>
      </c>
    </row>
    <row r="83" spans="1:1" x14ac:dyDescent="0.2">
      <c r="A83" s="82"/>
    </row>
    <row r="84" spans="1:1" ht="15" x14ac:dyDescent="0.25">
      <c r="A84" s="81" t="s">
        <v>398</v>
      </c>
    </row>
    <row r="85" spans="1:1" x14ac:dyDescent="0.2">
      <c r="A85" s="82" t="s">
        <v>399</v>
      </c>
    </row>
    <row r="86" spans="1:1" x14ac:dyDescent="0.2">
      <c r="A86" s="57" t="s">
        <v>407</v>
      </c>
    </row>
    <row r="87" spans="1:1" x14ac:dyDescent="0.2">
      <c r="A87" s="57" t="s">
        <v>406</v>
      </c>
    </row>
    <row r="88" spans="1:1" x14ac:dyDescent="0.2">
      <c r="A88" s="57" t="s">
        <v>408</v>
      </c>
    </row>
    <row r="89" spans="1:1" x14ac:dyDescent="0.2">
      <c r="A89" s="57" t="s">
        <v>400</v>
      </c>
    </row>
    <row r="90" spans="1:1" x14ac:dyDescent="0.2">
      <c r="A90" s="57" t="s">
        <v>409</v>
      </c>
    </row>
    <row r="91" spans="1:1" x14ac:dyDescent="0.2">
      <c r="A91" s="57"/>
    </row>
    <row r="92" spans="1:1" ht="15" x14ac:dyDescent="0.25">
      <c r="A92" s="81" t="s">
        <v>401</v>
      </c>
    </row>
    <row r="93" spans="1:1" x14ac:dyDescent="0.2">
      <c r="A93" s="57" t="s">
        <v>402</v>
      </c>
    </row>
    <row r="94" spans="1:1" x14ac:dyDescent="0.2">
      <c r="A94" s="57" t="s">
        <v>410</v>
      </c>
    </row>
    <row r="95" spans="1:1" x14ac:dyDescent="0.2">
      <c r="A95" s="57" t="s">
        <v>411</v>
      </c>
    </row>
    <row r="96" spans="1:1" x14ac:dyDescent="0.2">
      <c r="A96" s="57" t="s">
        <v>403</v>
      </c>
    </row>
    <row r="97" spans="1:1" x14ac:dyDescent="0.2">
      <c r="A97" s="57" t="s">
        <v>412</v>
      </c>
    </row>
    <row r="98" spans="1:1" x14ac:dyDescent="0.2">
      <c r="A98" s="57"/>
    </row>
    <row r="99" spans="1:1" x14ac:dyDescent="0.2">
      <c r="A99" s="84" t="s">
        <v>404</v>
      </c>
    </row>
    <row r="100" spans="1:1" ht="15" x14ac:dyDescent="0.25">
      <c r="A100" t="s">
        <v>405</v>
      </c>
    </row>
    <row r="102" spans="1:1" ht="15.75" x14ac:dyDescent="0.25">
      <c r="A102" s="56" t="s">
        <v>353</v>
      </c>
    </row>
    <row r="103" spans="1:1" x14ac:dyDescent="0.2">
      <c r="A103" s="57" t="s">
        <v>354</v>
      </c>
    </row>
    <row r="105" spans="1:1" x14ac:dyDescent="0.2">
      <c r="A105" s="57" t="s">
        <v>355</v>
      </c>
    </row>
    <row r="106" spans="1:1" x14ac:dyDescent="0.2">
      <c r="A106" s="57" t="s">
        <v>356</v>
      </c>
    </row>
    <row r="107" spans="1:1" x14ac:dyDescent="0.2">
      <c r="A107" s="57" t="s">
        <v>357</v>
      </c>
    </row>
    <row r="109" spans="1:1" ht="15.75" x14ac:dyDescent="0.25">
      <c r="A109" s="56" t="s">
        <v>358</v>
      </c>
    </row>
    <row r="110" spans="1:1" x14ac:dyDescent="0.2">
      <c r="A110" s="57" t="s">
        <v>359</v>
      </c>
    </row>
    <row r="111" spans="1:1" x14ac:dyDescent="0.2">
      <c r="A111" s="57" t="s">
        <v>360</v>
      </c>
    </row>
    <row r="112" spans="1:1" x14ac:dyDescent="0.2">
      <c r="A112" s="57" t="s">
        <v>361</v>
      </c>
    </row>
    <row r="113" spans="1:1" x14ac:dyDescent="0.2">
      <c r="A113" s="57" t="s">
        <v>362</v>
      </c>
    </row>
    <row r="114" spans="1:1" x14ac:dyDescent="0.2">
      <c r="A114" s="57" t="s">
        <v>363</v>
      </c>
    </row>
    <row r="115" spans="1:1" x14ac:dyDescent="0.2">
      <c r="A115" s="57" t="s">
        <v>364</v>
      </c>
    </row>
    <row r="117" spans="1:1" ht="15.75" x14ac:dyDescent="0.25">
      <c r="A117" s="56" t="s">
        <v>365</v>
      </c>
    </row>
    <row r="118" spans="1:1" x14ac:dyDescent="0.2">
      <c r="A118" s="57" t="s">
        <v>366</v>
      </c>
    </row>
    <row r="119" spans="1:1" ht="25.5" x14ac:dyDescent="0.2">
      <c r="A119" s="57" t="s">
        <v>367</v>
      </c>
    </row>
    <row r="120" spans="1:1" x14ac:dyDescent="0.2">
      <c r="A120" s="57" t="s">
        <v>368</v>
      </c>
    </row>
    <row r="121" spans="1:1" x14ac:dyDescent="0.2">
      <c r="A121" s="57" t="s">
        <v>369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Household Inputs</vt:lpstr>
      <vt:lpstr>2. Plan Comparison</vt:lpstr>
      <vt:lpstr>3. Objective Functions</vt:lpstr>
      <vt:lpstr>4. Optimizer</vt:lpstr>
      <vt:lpstr>5. FOSH Signals</vt:lpstr>
      <vt:lpstr>6.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Harvill</cp:lastModifiedBy>
  <cp:revision>0</cp:revision>
  <dcterms:created xsi:type="dcterms:W3CDTF">2026-03-11T05:44:12Z</dcterms:created>
  <dcterms:modified xsi:type="dcterms:W3CDTF">2026-05-03T20:55:39Z</dcterms:modified>
  <dc:language>en-US</dc:language>
</cp:coreProperties>
</file>